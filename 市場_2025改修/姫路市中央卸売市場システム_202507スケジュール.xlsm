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si001\市場_2025改修\"/>
    </mc:Choice>
  </mc:AlternateContent>
  <xr:revisionPtr revIDLastSave="0" documentId="13_ncr:1_{27C64CF3-00C9-4666-BCC7-D2926ED250BA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WBS!$A$9:$IH$54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WBS!$B$1:$GD$57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8" l="1"/>
  <c r="B43" i="28"/>
  <c r="B42" i="28"/>
  <c r="B14" i="28"/>
  <c r="B32" i="28"/>
  <c r="B21" i="28"/>
  <c r="B18" i="28"/>
  <c r="B15" i="28"/>
  <c r="B16" i="28"/>
  <c r="B17" i="28"/>
  <c r="B49" i="28"/>
  <c r="B39" i="28"/>
  <c r="B33" i="28"/>
  <c r="B13" i="28"/>
  <c r="B19" i="28"/>
  <c r="B20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4" i="28"/>
  <c r="B45" i="28"/>
  <c r="B47" i="28"/>
  <c r="B48" i="28"/>
  <c r="B50" i="28"/>
  <c r="B51" i="28"/>
  <c r="B52" i="28"/>
  <c r="B53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 s="1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T4" i="28" s="1"/>
  <c r="HS5" i="28"/>
  <c r="HS4" i="28"/>
  <c r="HT6" i="28" l="1"/>
  <c r="HU2" i="28"/>
  <c r="HU4" i="28" s="1"/>
  <c r="HT5" i="28"/>
  <c r="HU5" i="28" l="1"/>
  <c r="HV2" i="28"/>
  <c r="HV4" i="28" s="1"/>
  <c r="HU6" i="28"/>
  <c r="HV6" i="28" l="1"/>
  <c r="HV5" i="28"/>
</calcChain>
</file>

<file path=xl/sharedStrings.xml><?xml version="1.0" encoding="utf-8"?>
<sst xmlns="http://schemas.openxmlformats.org/spreadsheetml/2006/main" count="134" uniqueCount="59">
  <si>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</si>
  <si>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</si>
  <si>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</si>
  <si>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</si>
  <si>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</si>
  <si>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</si>
  <si>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</si>
  <si>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</si>
  <si>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</si>
  <si>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</si>
  <si>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</si>
  <si>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</si>
  <si>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</si>
  <si>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</si>
  <si>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</si>
  <si>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</si>
  <si>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</si>
  <si>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</si>
  <si>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</si>
  <si>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</si>
  <si>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</si>
  <si>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</si>
  <si>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</si>
  <si>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</si>
  <si>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</si>
  <si>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</si>
  <si>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</si>
  <si>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</si>
  <si>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</si>
  <si>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</si>
  <si>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</si>
  <si>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</si>
  <si>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</si>
  <si>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</si>
  <si>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</si>
  <si>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</si>
  <si>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</si>
  <si>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</si>
  <si>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</si>
  <si>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</si>
  <si>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</si>
  <si>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</si>
  <si>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</si>
  <si>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</si>
  <si>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</si>
  <si>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</si>
  <si>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</si>
  <si>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</si>
  <si>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</si>
  <si>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</si>
  <si>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</si>
  <si>
    <t>システム</t>
    <phoneticPr fontId="4"/>
  </si>
  <si>
    <t>（予定）</t>
    <rPh sb="1" eb="3">
      <t>ヨテイ</t>
    </rPh>
    <phoneticPr fontId="4"/>
  </si>
  <si>
    <t>(予定）</t>
    <rPh sb="1" eb="3">
      <t>ヨテイ</t>
    </rPh>
    <phoneticPr fontId="4"/>
  </si>
  <si>
    <t>レビュー４回目</t>
    <rPh sb="5" eb="7">
      <t>カイメ</t>
    </rPh>
    <phoneticPr fontId="4"/>
  </si>
  <si>
    <t>テスト１</t>
    <phoneticPr fontId="4"/>
  </si>
  <si>
    <t>テスト２</t>
    <phoneticPr fontId="4"/>
  </si>
  <si>
    <t>データ</t>
    <phoneticPr fontId="4"/>
  </si>
  <si>
    <t>テスト計画</t>
    <rPh sb="3" eb="5">
      <t>ケイカク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</si>
</sst>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1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80" fontId="40" fillId="25" borderId="83" xfId="0" applyNumberFormat="1" applyFont="1" applyFill="1" applyBorder="1" applyAlignment="1">
      <alignment horizontal="center" vertical="center"/>
    </xf>
    <xf numFmtId="177" fontId="41" fillId="0" borderId="84" xfId="0" applyNumberFormat="1" applyFont="1" applyBorder="1" applyAlignment="1">
      <alignment horizontal="center" vertical="center"/>
    </xf>
    <xf numFmtId="178" fontId="40" fillId="0" borderId="84" xfId="0" applyNumberFormat="1" applyFont="1" applyBorder="1" applyAlignment="1">
      <alignment horizontal="center" vertical="center" shrinkToFit="1"/>
    </xf>
    <xf numFmtId="178" fontId="40" fillId="0" borderId="85" xfId="0" applyNumberFormat="1" applyFont="1" applyBorder="1" applyAlignment="1">
      <alignment horizontal="center" vertical="center"/>
    </xf>
    <xf numFmtId="177" fontId="24" fillId="26" borderId="86" xfId="0" applyNumberFormat="1" applyFont="1" applyFill="1" applyBorder="1" applyAlignment="1">
      <alignment horizontal="center" vertical="center"/>
    </xf>
    <xf numFmtId="177" fontId="40" fillId="27" borderId="87" xfId="0" applyNumberFormat="1" applyFont="1" applyFill="1" applyBorder="1" applyAlignment="1">
      <alignment horizontal="center" vertical="center"/>
    </xf>
    <xf numFmtId="177" fontId="40" fillId="0" borderId="87" xfId="0" applyNumberFormat="1" applyFont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0" borderId="87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center" vertical="center" wrapText="1"/>
    </xf>
    <xf numFmtId="56" fontId="5" fillId="0" borderId="99" xfId="0" applyNumberFormat="1" applyFont="1" applyBorder="1" applyAlignment="1">
      <alignment horizontal="center" vertical="center" wrapText="1"/>
    </xf>
    <xf numFmtId="176" fontId="5" fillId="0" borderId="99" xfId="0" applyNumberFormat="1" applyFont="1" applyBorder="1" applyAlignment="1">
      <alignment horizontal="center" vertical="center" wrapText="1" shrinkToFit="1"/>
    </xf>
    <xf numFmtId="176" fontId="5" fillId="0" borderId="98" xfId="0" applyNumberFormat="1" applyFont="1" applyBorder="1" applyAlignment="1">
      <alignment horizontal="center" vertical="center" wrapText="1" shrinkToFit="1"/>
    </xf>
    <xf numFmtId="9" fontId="5" fillId="28" borderId="99" xfId="0" applyNumberFormat="1" applyFont="1" applyFill="1" applyBorder="1" applyAlignment="1">
      <alignment horizontal="center" vertical="center" wrapText="1" shrinkToFi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0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9" fillId="0" borderId="101" xfId="0" applyFont="1" applyBorder="1" applyAlignment="1">
      <alignment vertical="center"/>
    </xf>
    <xf numFmtId="0" fontId="5" fillId="0" borderId="39" xfId="0" applyFont="1" applyBorder="1" applyAlignment="1">
      <alignment vertical="top" wrapText="1"/>
    </xf>
    <xf numFmtId="0" fontId="29" fillId="0" borderId="102" xfId="0" applyFont="1" applyBorder="1" applyAlignment="1">
      <alignment vertical="center"/>
    </xf>
    <xf numFmtId="177" fontId="41" fillId="31" borderId="23" xfId="0" applyNumberFormat="1" applyFont="1" applyFill="1" applyBorder="1" applyAlignment="1">
      <alignment horizontal="center" vertical="center"/>
    </xf>
    <xf numFmtId="178" fontId="40" fillId="31" borderId="23" xfId="0" applyNumberFormat="1" applyFont="1" applyFill="1" applyBorder="1" applyAlignment="1">
      <alignment horizontal="center" vertical="center" shrinkToFit="1"/>
    </xf>
    <xf numFmtId="178" fontId="40" fillId="31" borderId="27" xfId="0" applyNumberFormat="1" applyFont="1" applyFill="1" applyBorder="1" applyAlignment="1">
      <alignment horizontal="center" vertical="center"/>
    </xf>
    <xf numFmtId="177" fontId="24" fillId="31" borderId="31" xfId="0" applyNumberFormat="1" applyFont="1" applyFill="1" applyBorder="1" applyAlignment="1">
      <alignment horizontal="center" vertical="center"/>
    </xf>
    <xf numFmtId="177" fontId="40" fillId="31" borderId="43" xfId="0" applyNumberFormat="1" applyFont="1" applyFill="1" applyBorder="1" applyAlignment="1">
      <alignment horizontal="center" vertical="center"/>
    </xf>
    <xf numFmtId="177" fontId="47" fillId="31" borderId="43" xfId="0" applyNumberFormat="1" applyFont="1" applyFill="1" applyBorder="1" applyAlignment="1">
      <alignment horizontal="center" vertical="center"/>
    </xf>
    <xf numFmtId="177" fontId="40" fillId="31" borderId="56" xfId="0" applyNumberFormat="1" applyFont="1" applyFill="1" applyBorder="1" applyAlignment="1">
      <alignment horizontal="center" vertical="center"/>
    </xf>
    <xf numFmtId="177" fontId="24" fillId="0" borderId="58" xfId="0" applyNumberFormat="1" applyFont="1" applyBorder="1" applyAlignment="1">
      <alignment horizontal="center" vertical="center"/>
    </xf>
    <xf numFmtId="177" fontId="24" fillId="0" borderId="31" xfId="0" applyNumberFormat="1" applyFont="1" applyBorder="1" applyAlignment="1">
      <alignment horizontal="center" vertical="center"/>
    </xf>
    <xf numFmtId="177" fontId="40" fillId="0" borderId="82" xfId="0" applyNumberFormat="1" applyFont="1" applyBorder="1" applyAlignment="1">
      <alignment horizontal="center" vertical="center"/>
    </xf>
    <xf numFmtId="0" fontId="29" fillId="0" borderId="82" xfId="0" applyFont="1" applyBorder="1" applyAlignment="1">
      <alignment vertical="center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3" xfId="0" applyFont="1" applyFill="1" applyBorder="1" applyAlignment="1">
      <alignment horizontal="center" vertical="center"/>
    </xf>
    <xf numFmtId="182" fontId="25" fillId="0" borderId="73" xfId="0" applyNumberFormat="1" applyFont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89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28" fillId="0" borderId="95" xfId="0" applyFont="1" applyBorder="1" applyAlignment="1">
      <alignment horizontal="left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182" fontId="25" fillId="0" borderId="93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3" xfId="0" applyFill="1" applyBorder="1" applyAlignment="1">
      <alignment horizontal="center" vertical="center"/>
    </xf>
    <xf numFmtId="0" fontId="25" fillId="24" borderId="94" xfId="0" applyFont="1" applyFill="1" applyBorder="1" applyAlignment="1">
      <alignment horizontal="center" vertical="center" wrapText="1"/>
    </xf>
    <xf numFmtId="0" fontId="0" fillId="0" borderId="9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3" xfId="0" applyFill="1" applyBorder="1" applyAlignment="1">
      <alignment horizontal="center" vertical="center" wrapText="1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171</xdr:col>
      <xdr:colOff>0</xdr:colOff>
      <xdr:row>51</xdr:row>
      <xdr:rowOff>119063</xdr:rowOff>
    </xdr:from>
    <xdr:to>
      <xdr:col>174</xdr:col>
      <xdr:colOff>0</xdr:colOff>
      <xdr:row>51</xdr:row>
      <xdr:rowOff>261938</xdr:rowOff>
    </xdr:to>
    <xdr:sp macro="" textlink="">
      <xdr:nvSpPr>
        <xdr:cNvPr id="115730" name="自動予定52">
          <a:extLst>
            <a:ext uri="{FF2B5EF4-FFF2-40B4-BE49-F238E27FC236}">
              <a16:creationId xmlns:a16="http://schemas.microsoft.com/office/drawing/2014/main" id="{768010A3-F6E8-7D13-7ED2-2B6E8634E291}"/>
            </a:ext>
          </a:extLst>
        </xdr:cNvPr>
        <xdr:cNvSpPr/>
      </xdr:nvSpPr>
      <xdr:spPr bwMode="auto">
        <a:xfrm>
          <a:off x="36261675" y="17768888"/>
          <a:ext cx="5524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50</xdr:row>
      <xdr:rowOff>119063</xdr:rowOff>
    </xdr:from>
    <xdr:to>
      <xdr:col>160</xdr:col>
      <xdr:colOff>0</xdr:colOff>
      <xdr:row>50</xdr:row>
      <xdr:rowOff>261938</xdr:rowOff>
    </xdr:to>
    <xdr:sp macro="" textlink="">
      <xdr:nvSpPr>
        <xdr:cNvPr id="115728" name="自動予定51">
          <a:extLst>
            <a:ext uri="{FF2B5EF4-FFF2-40B4-BE49-F238E27FC236}">
              <a16:creationId xmlns:a16="http://schemas.microsoft.com/office/drawing/2014/main" id="{4443CB36-D845-1345-F1A9-0A3B7175D60F}"/>
            </a:ext>
          </a:extLst>
        </xdr:cNvPr>
        <xdr:cNvSpPr/>
      </xdr:nvSpPr>
      <xdr:spPr bwMode="auto">
        <a:xfrm>
          <a:off x="3020377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49</xdr:row>
      <xdr:rowOff>119063</xdr:rowOff>
    </xdr:from>
    <xdr:to>
      <xdr:col>135</xdr:col>
      <xdr:colOff>0</xdr:colOff>
      <xdr:row>49</xdr:row>
      <xdr:rowOff>261938</xdr:rowOff>
    </xdr:to>
    <xdr:sp macro="" textlink="">
      <xdr:nvSpPr>
        <xdr:cNvPr id="115726" name="自動予定50">
          <a:extLst>
            <a:ext uri="{FF2B5EF4-FFF2-40B4-BE49-F238E27FC236}">
              <a16:creationId xmlns:a16="http://schemas.microsoft.com/office/drawing/2014/main" id="{D4E38CE4-24FB-AA8C-EECB-11C052D0D23F}"/>
            </a:ext>
          </a:extLst>
        </xdr:cNvPr>
        <xdr:cNvSpPr/>
      </xdr:nvSpPr>
      <xdr:spPr bwMode="auto">
        <a:xfrm>
          <a:off x="2534602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48</xdr:row>
      <xdr:rowOff>119063</xdr:rowOff>
    </xdr:from>
    <xdr:to>
      <xdr:col>154</xdr:col>
      <xdr:colOff>0</xdr:colOff>
      <xdr:row>48</xdr:row>
      <xdr:rowOff>261938</xdr:rowOff>
    </xdr:to>
    <xdr:sp macro="" textlink="">
      <xdr:nvSpPr>
        <xdr:cNvPr id="115724" name="自動予定49">
          <a:extLst>
            <a:ext uri="{FF2B5EF4-FFF2-40B4-BE49-F238E27FC236}">
              <a16:creationId xmlns:a16="http://schemas.microsoft.com/office/drawing/2014/main" id="{428A8B75-19A4-C63A-FE5A-1DEF70CC325E}"/>
            </a:ext>
          </a:extLst>
        </xdr:cNvPr>
        <xdr:cNvSpPr/>
      </xdr:nvSpPr>
      <xdr:spPr bwMode="auto">
        <a:xfrm>
          <a:off x="302037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47</xdr:row>
      <xdr:rowOff>119063</xdr:rowOff>
    </xdr:from>
    <xdr:to>
      <xdr:col>134</xdr:col>
      <xdr:colOff>0</xdr:colOff>
      <xdr:row>47</xdr:row>
      <xdr:rowOff>261938</xdr:rowOff>
    </xdr:to>
    <xdr:sp macro="" textlink="">
      <xdr:nvSpPr>
        <xdr:cNvPr id="115722" name="自動予定48">
          <a:extLst>
            <a:ext uri="{FF2B5EF4-FFF2-40B4-BE49-F238E27FC236}">
              <a16:creationId xmlns:a16="http://schemas.microsoft.com/office/drawing/2014/main" id="{FD14A28D-7E8A-CB46-B75B-E00F120F96EE}"/>
            </a:ext>
          </a:extLst>
        </xdr:cNvPr>
        <xdr:cNvSpPr/>
      </xdr:nvSpPr>
      <xdr:spPr bwMode="auto">
        <a:xfrm>
          <a:off x="27936825" y="16244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46</xdr:row>
      <xdr:rowOff>119063</xdr:rowOff>
    </xdr:from>
    <xdr:to>
      <xdr:col>121</xdr:col>
      <xdr:colOff>0</xdr:colOff>
      <xdr:row>46</xdr:row>
      <xdr:rowOff>261938</xdr:rowOff>
    </xdr:to>
    <xdr:sp macro="" textlink="">
      <xdr:nvSpPr>
        <xdr:cNvPr id="115720" name="自動予定47">
          <a:extLst>
            <a:ext uri="{FF2B5EF4-FFF2-40B4-BE49-F238E27FC236}">
              <a16:creationId xmlns:a16="http://schemas.microsoft.com/office/drawing/2014/main" id="{F28FD485-6FFA-6BD2-DA8C-C26C0BDC1204}"/>
            </a:ext>
          </a:extLst>
        </xdr:cNvPr>
        <xdr:cNvSpPr/>
      </xdr:nvSpPr>
      <xdr:spPr bwMode="auto">
        <a:xfrm>
          <a:off x="25346025" y="15863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0</xdr:colOff>
      <xdr:row>45</xdr:row>
      <xdr:rowOff>119063</xdr:rowOff>
    </xdr:from>
    <xdr:to>
      <xdr:col>104</xdr:col>
      <xdr:colOff>0</xdr:colOff>
      <xdr:row>45</xdr:row>
      <xdr:rowOff>261938</xdr:rowOff>
    </xdr:to>
    <xdr:sp macro="" textlink="">
      <xdr:nvSpPr>
        <xdr:cNvPr id="115718" name="自動予定46">
          <a:extLst>
            <a:ext uri="{FF2B5EF4-FFF2-40B4-BE49-F238E27FC236}">
              <a16:creationId xmlns:a16="http://schemas.microsoft.com/office/drawing/2014/main" id="{8C452AC8-37F5-54E5-2043-84355CA4779B}"/>
            </a:ext>
          </a:extLst>
        </xdr:cNvPr>
        <xdr:cNvSpPr/>
      </xdr:nvSpPr>
      <xdr:spPr bwMode="auto">
        <a:xfrm>
          <a:off x="22269450" y="15482888"/>
          <a:ext cx="30765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0</xdr:colOff>
      <xdr:row>44</xdr:row>
      <xdr:rowOff>119063</xdr:rowOff>
    </xdr:from>
    <xdr:to>
      <xdr:col>121</xdr:col>
      <xdr:colOff>0</xdr:colOff>
      <xdr:row>44</xdr:row>
      <xdr:rowOff>261938</xdr:rowOff>
    </xdr:to>
    <xdr:sp macro="" textlink="">
      <xdr:nvSpPr>
        <xdr:cNvPr id="115716" name="自動予定45">
          <a:extLst>
            <a:ext uri="{FF2B5EF4-FFF2-40B4-BE49-F238E27FC236}">
              <a16:creationId xmlns:a16="http://schemas.microsoft.com/office/drawing/2014/main" id="{DDAC260D-26CD-573B-AC5A-C5737867FFFC}"/>
            </a:ext>
          </a:extLst>
        </xdr:cNvPr>
        <xdr:cNvSpPr/>
      </xdr:nvSpPr>
      <xdr:spPr bwMode="auto">
        <a:xfrm>
          <a:off x="25831800" y="15101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43</xdr:row>
      <xdr:rowOff>119063</xdr:rowOff>
    </xdr:from>
    <xdr:to>
      <xdr:col>83</xdr:col>
      <xdr:colOff>0</xdr:colOff>
      <xdr:row>43</xdr:row>
      <xdr:rowOff>261938</xdr:rowOff>
    </xdr:to>
    <xdr:sp macro="" textlink="">
      <xdr:nvSpPr>
        <xdr:cNvPr id="115714" name="自動予定44">
          <a:extLst>
            <a:ext uri="{FF2B5EF4-FFF2-40B4-BE49-F238E27FC236}">
              <a16:creationId xmlns:a16="http://schemas.microsoft.com/office/drawing/2014/main" id="{E5EB0897-BB55-3CEE-DEC3-1CAE35F2FC75}"/>
            </a:ext>
          </a:extLst>
        </xdr:cNvPr>
        <xdr:cNvSpPr/>
      </xdr:nvSpPr>
      <xdr:spPr bwMode="auto">
        <a:xfrm>
          <a:off x="20326350" y="1472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0</xdr:colOff>
      <xdr:row>42</xdr:row>
      <xdr:rowOff>119063</xdr:rowOff>
    </xdr:from>
    <xdr:to>
      <xdr:col>101</xdr:col>
      <xdr:colOff>0</xdr:colOff>
      <xdr:row>42</xdr:row>
      <xdr:rowOff>261938</xdr:rowOff>
    </xdr:to>
    <xdr:sp macro="" textlink="">
      <xdr:nvSpPr>
        <xdr:cNvPr id="63" name="自動予定43">
          <a:extLst>
            <a:ext uri="{FF2B5EF4-FFF2-40B4-BE49-F238E27FC236}">
              <a16:creationId xmlns:a16="http://schemas.microsoft.com/office/drawing/2014/main" id="{245A469C-E09E-9EA2-4364-968001104A5D}"/>
            </a:ext>
          </a:extLst>
        </xdr:cNvPr>
        <xdr:cNvSpPr/>
      </xdr:nvSpPr>
      <xdr:spPr bwMode="auto">
        <a:xfrm>
          <a:off x="24536400" y="1433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41</xdr:row>
      <xdr:rowOff>119063</xdr:rowOff>
    </xdr:from>
    <xdr:to>
      <xdr:col>97</xdr:col>
      <xdr:colOff>0</xdr:colOff>
      <xdr:row>41</xdr:row>
      <xdr:rowOff>261938</xdr:rowOff>
    </xdr:to>
    <xdr:sp macro="" textlink="">
      <xdr:nvSpPr>
        <xdr:cNvPr id="61" name="自動予定42">
          <a:extLst>
            <a:ext uri="{FF2B5EF4-FFF2-40B4-BE49-F238E27FC236}">
              <a16:creationId xmlns:a16="http://schemas.microsoft.com/office/drawing/2014/main" id="{09E88D62-FE50-5170-6B72-FC99AC157D3B}"/>
            </a:ext>
          </a:extLst>
        </xdr:cNvPr>
        <xdr:cNvSpPr/>
      </xdr:nvSpPr>
      <xdr:spPr bwMode="auto">
        <a:xfrm>
          <a:off x="23402925" y="13958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40</xdr:row>
      <xdr:rowOff>119063</xdr:rowOff>
    </xdr:from>
    <xdr:to>
      <xdr:col>90</xdr:col>
      <xdr:colOff>0</xdr:colOff>
      <xdr:row>40</xdr:row>
      <xdr:rowOff>261938</xdr:rowOff>
    </xdr:to>
    <xdr:sp macro="" textlink="">
      <xdr:nvSpPr>
        <xdr:cNvPr id="59" name="自動予定41">
          <a:extLst>
            <a:ext uri="{FF2B5EF4-FFF2-40B4-BE49-F238E27FC236}">
              <a16:creationId xmlns:a16="http://schemas.microsoft.com/office/drawing/2014/main" id="{4D6ED362-E51C-F900-44DB-2A5FC5FDEBA1}"/>
            </a:ext>
          </a:extLst>
        </xdr:cNvPr>
        <xdr:cNvSpPr/>
      </xdr:nvSpPr>
      <xdr:spPr bwMode="auto">
        <a:xfrm>
          <a:off x="22431375" y="13577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0</xdr:colOff>
      <xdr:row>39</xdr:row>
      <xdr:rowOff>119063</xdr:rowOff>
    </xdr:from>
    <xdr:to>
      <xdr:col>83</xdr:col>
      <xdr:colOff>0</xdr:colOff>
      <xdr:row>39</xdr:row>
      <xdr:rowOff>261938</xdr:rowOff>
    </xdr:to>
    <xdr:sp macro="" textlink="">
      <xdr:nvSpPr>
        <xdr:cNvPr id="57" name="自動予定40">
          <a:extLst>
            <a:ext uri="{FF2B5EF4-FFF2-40B4-BE49-F238E27FC236}">
              <a16:creationId xmlns:a16="http://schemas.microsoft.com/office/drawing/2014/main" id="{492C5302-0AF3-073F-095B-2460719F5250}"/>
            </a:ext>
          </a:extLst>
        </xdr:cNvPr>
        <xdr:cNvSpPr/>
      </xdr:nvSpPr>
      <xdr:spPr bwMode="auto">
        <a:xfrm>
          <a:off x="21135975" y="13196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38</xdr:row>
      <xdr:rowOff>119063</xdr:rowOff>
    </xdr:from>
    <xdr:to>
      <xdr:col>76</xdr:col>
      <xdr:colOff>0</xdr:colOff>
      <xdr:row>38</xdr:row>
      <xdr:rowOff>261938</xdr:rowOff>
    </xdr:to>
    <xdr:sp macro="" textlink="">
      <xdr:nvSpPr>
        <xdr:cNvPr id="55" name="自動予定39">
          <a:extLst>
            <a:ext uri="{FF2B5EF4-FFF2-40B4-BE49-F238E27FC236}">
              <a16:creationId xmlns:a16="http://schemas.microsoft.com/office/drawing/2014/main" id="{B27E291B-0136-CCF8-9C0B-063CD042F9A6}"/>
            </a:ext>
          </a:extLst>
        </xdr:cNvPr>
        <xdr:cNvSpPr/>
      </xdr:nvSpPr>
      <xdr:spPr bwMode="auto">
        <a:xfrm>
          <a:off x="20002500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37</xdr:row>
      <xdr:rowOff>119063</xdr:rowOff>
    </xdr:from>
    <xdr:to>
      <xdr:col>69</xdr:col>
      <xdr:colOff>0</xdr:colOff>
      <xdr:row>37</xdr:row>
      <xdr:rowOff>261938</xdr:rowOff>
    </xdr:to>
    <xdr:sp macro="" textlink="">
      <xdr:nvSpPr>
        <xdr:cNvPr id="53" name="自動予定38">
          <a:extLst>
            <a:ext uri="{FF2B5EF4-FFF2-40B4-BE49-F238E27FC236}">
              <a16:creationId xmlns:a16="http://schemas.microsoft.com/office/drawing/2014/main" id="{FE344AF2-F198-000E-0051-1ED18E24FAB0}"/>
            </a:ext>
          </a:extLst>
        </xdr:cNvPr>
        <xdr:cNvSpPr/>
      </xdr:nvSpPr>
      <xdr:spPr bwMode="auto">
        <a:xfrm>
          <a:off x="19202400" y="1243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36</xdr:row>
      <xdr:rowOff>119063</xdr:rowOff>
    </xdr:from>
    <xdr:to>
      <xdr:col>61</xdr:col>
      <xdr:colOff>0</xdr:colOff>
      <xdr:row>36</xdr:row>
      <xdr:rowOff>261938</xdr:rowOff>
    </xdr:to>
    <xdr:sp macro="" textlink="">
      <xdr:nvSpPr>
        <xdr:cNvPr id="51" name="自動予定37">
          <a:extLst>
            <a:ext uri="{FF2B5EF4-FFF2-40B4-BE49-F238E27FC236}">
              <a16:creationId xmlns:a16="http://schemas.microsoft.com/office/drawing/2014/main" id="{261FB1DF-18DC-92C6-7FE8-BB3AC1472E08}"/>
            </a:ext>
          </a:extLst>
        </xdr:cNvPr>
        <xdr:cNvSpPr/>
      </xdr:nvSpPr>
      <xdr:spPr bwMode="auto">
        <a:xfrm>
          <a:off x="18230850" y="1205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35</xdr:row>
      <xdr:rowOff>119063</xdr:rowOff>
    </xdr:from>
    <xdr:to>
      <xdr:col>61</xdr:col>
      <xdr:colOff>0</xdr:colOff>
      <xdr:row>35</xdr:row>
      <xdr:rowOff>261938</xdr:rowOff>
    </xdr:to>
    <xdr:sp macro="" textlink="">
      <xdr:nvSpPr>
        <xdr:cNvPr id="49" name="自動予定36">
          <a:extLst>
            <a:ext uri="{FF2B5EF4-FFF2-40B4-BE49-F238E27FC236}">
              <a16:creationId xmlns:a16="http://schemas.microsoft.com/office/drawing/2014/main" id="{C95573EA-E1A1-AFE2-7CE3-151C9792472D}"/>
            </a:ext>
          </a:extLst>
        </xdr:cNvPr>
        <xdr:cNvSpPr/>
      </xdr:nvSpPr>
      <xdr:spPr bwMode="auto">
        <a:xfrm>
          <a:off x="1806892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34</xdr:row>
      <xdr:rowOff>119063</xdr:rowOff>
    </xdr:from>
    <xdr:to>
      <xdr:col>59</xdr:col>
      <xdr:colOff>0</xdr:colOff>
      <xdr:row>34</xdr:row>
      <xdr:rowOff>261938</xdr:rowOff>
    </xdr:to>
    <xdr:sp macro="" textlink="">
      <xdr:nvSpPr>
        <xdr:cNvPr id="47" name="自動予定35">
          <a:extLst>
            <a:ext uri="{FF2B5EF4-FFF2-40B4-BE49-F238E27FC236}">
              <a16:creationId xmlns:a16="http://schemas.microsoft.com/office/drawing/2014/main" id="{1FEA8BAE-9F22-8038-A601-59D5DE778096}"/>
            </a:ext>
          </a:extLst>
        </xdr:cNvPr>
        <xdr:cNvSpPr/>
      </xdr:nvSpPr>
      <xdr:spPr bwMode="auto">
        <a:xfrm>
          <a:off x="179070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32</xdr:row>
      <xdr:rowOff>119063</xdr:rowOff>
    </xdr:from>
    <xdr:to>
      <xdr:col>60</xdr:col>
      <xdr:colOff>0</xdr:colOff>
      <xdr:row>32</xdr:row>
      <xdr:rowOff>261938</xdr:rowOff>
    </xdr:to>
    <xdr:sp macro="" textlink="">
      <xdr:nvSpPr>
        <xdr:cNvPr id="45" name="自動予定33">
          <a:extLst>
            <a:ext uri="{FF2B5EF4-FFF2-40B4-BE49-F238E27FC236}">
              <a16:creationId xmlns:a16="http://schemas.microsoft.com/office/drawing/2014/main" id="{D5B83D5B-793F-75AC-793B-CEACDB7FA620}"/>
            </a:ext>
          </a:extLst>
        </xdr:cNvPr>
        <xdr:cNvSpPr/>
      </xdr:nvSpPr>
      <xdr:spPr bwMode="auto">
        <a:xfrm>
          <a:off x="1806892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31</xdr:row>
      <xdr:rowOff>119063</xdr:rowOff>
    </xdr:from>
    <xdr:to>
      <xdr:col>52</xdr:col>
      <xdr:colOff>0</xdr:colOff>
      <xdr:row>31</xdr:row>
      <xdr:rowOff>261938</xdr:rowOff>
    </xdr:to>
    <xdr:sp macro="" textlink="">
      <xdr:nvSpPr>
        <xdr:cNvPr id="43" name="自動予定32">
          <a:extLst>
            <a:ext uri="{FF2B5EF4-FFF2-40B4-BE49-F238E27FC236}">
              <a16:creationId xmlns:a16="http://schemas.microsoft.com/office/drawing/2014/main" id="{40C9A8F5-FEEC-73D6-C22E-007732D771E0}"/>
            </a:ext>
          </a:extLst>
        </xdr:cNvPr>
        <xdr:cNvSpPr/>
      </xdr:nvSpPr>
      <xdr:spPr bwMode="auto">
        <a:xfrm>
          <a:off x="1661160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30</xdr:row>
      <xdr:rowOff>119063</xdr:rowOff>
    </xdr:from>
    <xdr:to>
      <xdr:col>48</xdr:col>
      <xdr:colOff>0</xdr:colOff>
      <xdr:row>30</xdr:row>
      <xdr:rowOff>261938</xdr:rowOff>
    </xdr:to>
    <xdr:sp macro="" textlink="">
      <xdr:nvSpPr>
        <xdr:cNvPr id="41" name="自動予定31">
          <a:extLst>
            <a:ext uri="{FF2B5EF4-FFF2-40B4-BE49-F238E27FC236}">
              <a16:creationId xmlns:a16="http://schemas.microsoft.com/office/drawing/2014/main" id="{5A45D4C2-48BD-97F6-B343-F5466E5C4E5B}"/>
            </a:ext>
          </a:extLst>
        </xdr:cNvPr>
        <xdr:cNvSpPr/>
      </xdr:nvSpPr>
      <xdr:spPr bwMode="auto">
        <a:xfrm>
          <a:off x="15916275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29</xdr:row>
      <xdr:rowOff>119063</xdr:rowOff>
    </xdr:from>
    <xdr:to>
      <xdr:col>53</xdr:col>
      <xdr:colOff>0</xdr:colOff>
      <xdr:row>29</xdr:row>
      <xdr:rowOff>261938</xdr:rowOff>
    </xdr:to>
    <xdr:sp macro="" textlink="">
      <xdr:nvSpPr>
        <xdr:cNvPr id="39" name="自動予定30">
          <a:extLst>
            <a:ext uri="{FF2B5EF4-FFF2-40B4-BE49-F238E27FC236}">
              <a16:creationId xmlns:a16="http://schemas.microsoft.com/office/drawing/2014/main" id="{239424F5-415A-F73B-DB12-CED240910A40}"/>
            </a:ext>
          </a:extLst>
        </xdr:cNvPr>
        <xdr:cNvSpPr/>
      </xdr:nvSpPr>
      <xdr:spPr bwMode="auto">
        <a:xfrm>
          <a:off x="15430500" y="9386888"/>
          <a:ext cx="1666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28</xdr:row>
      <xdr:rowOff>119063</xdr:rowOff>
    </xdr:from>
    <xdr:to>
      <xdr:col>46</xdr:col>
      <xdr:colOff>0</xdr:colOff>
      <xdr:row>28</xdr:row>
      <xdr:rowOff>261938</xdr:rowOff>
    </xdr:to>
    <xdr:sp macro="" textlink="">
      <xdr:nvSpPr>
        <xdr:cNvPr id="37" name="自動予定29">
          <a:extLst>
            <a:ext uri="{FF2B5EF4-FFF2-40B4-BE49-F238E27FC236}">
              <a16:creationId xmlns:a16="http://schemas.microsoft.com/office/drawing/2014/main" id="{79075320-4424-DEC7-713C-AFB51127AF95}"/>
            </a:ext>
          </a:extLst>
        </xdr:cNvPr>
        <xdr:cNvSpPr/>
      </xdr:nvSpPr>
      <xdr:spPr bwMode="auto">
        <a:xfrm>
          <a:off x="154305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27</xdr:row>
      <xdr:rowOff>119063</xdr:rowOff>
    </xdr:from>
    <xdr:to>
      <xdr:col>39</xdr:col>
      <xdr:colOff>0</xdr:colOff>
      <xdr:row>27</xdr:row>
      <xdr:rowOff>261938</xdr:rowOff>
    </xdr:to>
    <xdr:sp macro="" textlink="">
      <xdr:nvSpPr>
        <xdr:cNvPr id="35" name="自動予定28">
          <a:extLst>
            <a:ext uri="{FF2B5EF4-FFF2-40B4-BE49-F238E27FC236}">
              <a16:creationId xmlns:a16="http://schemas.microsoft.com/office/drawing/2014/main" id="{4440AF23-2CDE-7FEE-99F2-CD76A1482420}"/>
            </a:ext>
          </a:extLst>
        </xdr:cNvPr>
        <xdr:cNvSpPr/>
      </xdr:nvSpPr>
      <xdr:spPr bwMode="auto">
        <a:xfrm>
          <a:off x="14297025" y="862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26</xdr:row>
      <xdr:rowOff>119063</xdr:rowOff>
    </xdr:from>
    <xdr:to>
      <xdr:col>34</xdr:col>
      <xdr:colOff>0</xdr:colOff>
      <xdr:row>26</xdr:row>
      <xdr:rowOff>261938</xdr:rowOff>
    </xdr:to>
    <xdr:sp macro="" textlink="">
      <xdr:nvSpPr>
        <xdr:cNvPr id="33" name="自動予定27">
          <a:extLst>
            <a:ext uri="{FF2B5EF4-FFF2-40B4-BE49-F238E27FC236}">
              <a16:creationId xmlns:a16="http://schemas.microsoft.com/office/drawing/2014/main" id="{D09D05AD-19A9-3F3A-D50E-943AF7C52E53}"/>
            </a:ext>
          </a:extLst>
        </xdr:cNvPr>
        <xdr:cNvSpPr/>
      </xdr:nvSpPr>
      <xdr:spPr bwMode="auto">
        <a:xfrm>
          <a:off x="1364932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25</xdr:row>
      <xdr:rowOff>119063</xdr:rowOff>
    </xdr:from>
    <xdr:to>
      <xdr:col>32</xdr:col>
      <xdr:colOff>0</xdr:colOff>
      <xdr:row>25</xdr:row>
      <xdr:rowOff>261938</xdr:rowOff>
    </xdr:to>
    <xdr:sp macro="" textlink="">
      <xdr:nvSpPr>
        <xdr:cNvPr id="31" name="自動予定26">
          <a:extLst>
            <a:ext uri="{FF2B5EF4-FFF2-40B4-BE49-F238E27FC236}">
              <a16:creationId xmlns:a16="http://schemas.microsoft.com/office/drawing/2014/main" id="{529C7C0D-4DFD-53DB-A2C5-B91155EF6103}"/>
            </a:ext>
          </a:extLst>
        </xdr:cNvPr>
        <xdr:cNvSpPr/>
      </xdr:nvSpPr>
      <xdr:spPr bwMode="auto">
        <a:xfrm>
          <a:off x="134874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24</xdr:row>
      <xdr:rowOff>119063</xdr:rowOff>
    </xdr:from>
    <xdr:to>
      <xdr:col>31</xdr:col>
      <xdr:colOff>0</xdr:colOff>
      <xdr:row>24</xdr:row>
      <xdr:rowOff>261938</xdr:rowOff>
    </xdr:to>
    <xdr:sp macro="" textlink="">
      <xdr:nvSpPr>
        <xdr:cNvPr id="29" name="自動予定25">
          <a:extLst>
            <a:ext uri="{FF2B5EF4-FFF2-40B4-BE49-F238E27FC236}">
              <a16:creationId xmlns:a16="http://schemas.microsoft.com/office/drawing/2014/main" id="{F62E27D9-B6BD-DB60-21CB-090A000FBDA8}"/>
            </a:ext>
          </a:extLst>
        </xdr:cNvPr>
        <xdr:cNvSpPr/>
      </xdr:nvSpPr>
      <xdr:spPr bwMode="auto">
        <a:xfrm>
          <a:off x="13325475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23</xdr:row>
      <xdr:rowOff>119063</xdr:rowOff>
    </xdr:from>
    <xdr:to>
      <xdr:col>30</xdr:col>
      <xdr:colOff>0</xdr:colOff>
      <xdr:row>23</xdr:row>
      <xdr:rowOff>261938</xdr:rowOff>
    </xdr:to>
    <xdr:sp macro="" textlink="">
      <xdr:nvSpPr>
        <xdr:cNvPr id="27" name="自動予定24">
          <a:extLst>
            <a:ext uri="{FF2B5EF4-FFF2-40B4-BE49-F238E27FC236}">
              <a16:creationId xmlns:a16="http://schemas.microsoft.com/office/drawing/2014/main" id="{50203B2D-1558-3926-B743-0D5DC3EAE5BB}"/>
            </a:ext>
          </a:extLst>
        </xdr:cNvPr>
        <xdr:cNvSpPr/>
      </xdr:nvSpPr>
      <xdr:spPr bwMode="auto">
        <a:xfrm>
          <a:off x="13163550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21</xdr:row>
      <xdr:rowOff>119063</xdr:rowOff>
    </xdr:from>
    <xdr:to>
      <xdr:col>44</xdr:col>
      <xdr:colOff>0</xdr:colOff>
      <xdr:row>21</xdr:row>
      <xdr:rowOff>261938</xdr:rowOff>
    </xdr:to>
    <xdr:sp macro="" textlink="">
      <xdr:nvSpPr>
        <xdr:cNvPr id="25" name="自動予定22">
          <a:extLst>
            <a:ext uri="{FF2B5EF4-FFF2-40B4-BE49-F238E27FC236}">
              <a16:creationId xmlns:a16="http://schemas.microsoft.com/office/drawing/2014/main" id="{AB78C512-D3A6-B799-886C-27DE19FD6DCA}"/>
            </a:ext>
          </a:extLst>
        </xdr:cNvPr>
        <xdr:cNvSpPr/>
      </xdr:nvSpPr>
      <xdr:spPr bwMode="auto">
        <a:xfrm>
          <a:off x="15430500" y="633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19</xdr:row>
      <xdr:rowOff>119063</xdr:rowOff>
    </xdr:from>
    <xdr:to>
      <xdr:col>34</xdr:col>
      <xdr:colOff>0</xdr:colOff>
      <xdr:row>19</xdr:row>
      <xdr:rowOff>261938</xdr:rowOff>
    </xdr:to>
    <xdr:sp macro="" textlink="">
      <xdr:nvSpPr>
        <xdr:cNvPr id="23" name="自動予定20">
          <a:extLst>
            <a:ext uri="{FF2B5EF4-FFF2-40B4-BE49-F238E27FC236}">
              <a16:creationId xmlns:a16="http://schemas.microsoft.com/office/drawing/2014/main" id="{83BB7D9E-70C8-F971-FCAA-7CE75BFB3FEE}"/>
            </a:ext>
          </a:extLst>
        </xdr:cNvPr>
        <xdr:cNvSpPr/>
      </xdr:nvSpPr>
      <xdr:spPr bwMode="auto">
        <a:xfrm>
          <a:off x="13487400" y="557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32</xdr:col>
      <xdr:colOff>0</xdr:colOff>
      <xdr:row>18</xdr:row>
      <xdr:rowOff>261938</xdr:rowOff>
    </xdr:to>
    <xdr:sp macro="" textlink="">
      <xdr:nvSpPr>
        <xdr:cNvPr id="20" name="自動予定19">
          <a:extLst>
            <a:ext uri="{FF2B5EF4-FFF2-40B4-BE49-F238E27FC236}">
              <a16:creationId xmlns:a16="http://schemas.microsoft.com/office/drawing/2014/main" id="{38A62C73-3C34-9B3B-37BB-46BC9505AB6A}"/>
            </a:ext>
          </a:extLst>
        </xdr:cNvPr>
        <xdr:cNvSpPr/>
      </xdr:nvSpPr>
      <xdr:spPr bwMode="auto">
        <a:xfrm>
          <a:off x="13325475" y="5195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8" name="自動予定18">
          <a:extLst>
            <a:ext uri="{FF2B5EF4-FFF2-40B4-BE49-F238E27FC236}">
              <a16:creationId xmlns:a16="http://schemas.microsoft.com/office/drawing/2014/main" id="{1A2031F9-B150-B839-47B3-ADD08ED838F1}"/>
            </a:ext>
          </a:extLst>
        </xdr:cNvPr>
        <xdr:cNvSpPr/>
      </xdr:nvSpPr>
      <xdr:spPr bwMode="auto">
        <a:xfrm>
          <a:off x="12677775" y="481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16</xdr:row>
      <xdr:rowOff>119063</xdr:rowOff>
    </xdr:from>
    <xdr:to>
      <xdr:col>26</xdr:col>
      <xdr:colOff>0</xdr:colOff>
      <xdr:row>16</xdr:row>
      <xdr:rowOff>261938</xdr:rowOff>
    </xdr:to>
    <xdr:sp macro="" textlink="">
      <xdr:nvSpPr>
        <xdr:cNvPr id="16" name="自動予定17">
          <a:extLst>
            <a:ext uri="{FF2B5EF4-FFF2-40B4-BE49-F238E27FC236}">
              <a16:creationId xmlns:a16="http://schemas.microsoft.com/office/drawing/2014/main" id="{10380C9D-6701-4BAB-3C6F-F136ED9A7F37}"/>
            </a:ext>
          </a:extLst>
        </xdr:cNvPr>
        <xdr:cNvSpPr/>
      </xdr:nvSpPr>
      <xdr:spPr bwMode="auto">
        <a:xfrm>
          <a:off x="12515850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4" name="自動予定16">
          <a:extLst>
            <a:ext uri="{FF2B5EF4-FFF2-40B4-BE49-F238E27FC236}">
              <a16:creationId xmlns:a16="http://schemas.microsoft.com/office/drawing/2014/main" id="{D0BDD93B-C5E6-FADA-52C4-2B55865916F7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14</xdr:row>
      <xdr:rowOff>119063</xdr:rowOff>
    </xdr:from>
    <xdr:to>
      <xdr:col>32</xdr:col>
      <xdr:colOff>0</xdr:colOff>
      <xdr:row>14</xdr:row>
      <xdr:rowOff>261938</xdr:rowOff>
    </xdr:to>
    <xdr:sp macro="" textlink="">
      <xdr:nvSpPr>
        <xdr:cNvPr id="12" name="自動予定15">
          <a:extLst>
            <a:ext uri="{FF2B5EF4-FFF2-40B4-BE49-F238E27FC236}">
              <a16:creationId xmlns:a16="http://schemas.microsoft.com/office/drawing/2014/main" id="{CB79784F-ECFB-3590-21ED-D7800D1C4806}"/>
            </a:ext>
          </a:extLst>
        </xdr:cNvPr>
        <xdr:cNvSpPr/>
      </xdr:nvSpPr>
      <xdr:spPr bwMode="auto">
        <a:xfrm>
          <a:off x="134874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13</xdr:row>
      <xdr:rowOff>119063</xdr:rowOff>
    </xdr:from>
    <xdr:to>
      <xdr:col>25</xdr:col>
      <xdr:colOff>0</xdr:colOff>
      <xdr:row>13</xdr:row>
      <xdr:rowOff>261938</xdr:rowOff>
    </xdr:to>
    <xdr:sp macro="" textlink="">
      <xdr:nvSpPr>
        <xdr:cNvPr id="10" name="自動予定14">
          <a:extLst>
            <a:ext uri="{FF2B5EF4-FFF2-40B4-BE49-F238E27FC236}">
              <a16:creationId xmlns:a16="http://schemas.microsoft.com/office/drawing/2014/main" id="{3422A560-BF26-C5D7-2815-CEEBF8817907}"/>
            </a:ext>
          </a:extLst>
        </xdr:cNvPr>
        <xdr:cNvSpPr/>
      </xdr:nvSpPr>
      <xdr:spPr bwMode="auto">
        <a:xfrm>
          <a:off x="123539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119063</xdr:rowOff>
    </xdr:from>
    <xdr:to>
      <xdr:col>25</xdr:col>
      <xdr:colOff>0</xdr:colOff>
      <xdr:row>12</xdr:row>
      <xdr:rowOff>261938</xdr:rowOff>
    </xdr:to>
    <xdr:sp macro="" textlink="">
      <xdr:nvSpPr>
        <xdr:cNvPr id="8" name="自動予定13">
          <a:extLst>
            <a:ext uri="{FF2B5EF4-FFF2-40B4-BE49-F238E27FC236}">
              <a16:creationId xmlns:a16="http://schemas.microsoft.com/office/drawing/2014/main" id="{CA9A3BFC-3A23-418A-2DB4-24EEE825BEED}"/>
            </a:ext>
          </a:extLst>
        </xdr:cNvPr>
        <xdr:cNvSpPr/>
      </xdr:nvSpPr>
      <xdr:spPr bwMode="auto">
        <a:xfrm>
          <a:off x="123539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119063</xdr:rowOff>
    </xdr:from>
    <xdr:to>
      <xdr:col>24</xdr:col>
      <xdr:colOff>0</xdr:colOff>
      <xdr:row>11</xdr:row>
      <xdr:rowOff>261938</xdr:rowOff>
    </xdr:to>
    <xdr:sp macro="" textlink="">
      <xdr:nvSpPr>
        <xdr:cNvPr id="6" name="自動予定12">
          <a:extLst>
            <a:ext uri="{FF2B5EF4-FFF2-40B4-BE49-F238E27FC236}">
              <a16:creationId xmlns:a16="http://schemas.microsoft.com/office/drawing/2014/main" id="{4C2C431F-755D-67D0-EED3-F1F375D2881B}"/>
            </a:ext>
          </a:extLst>
        </xdr:cNvPr>
        <xdr:cNvSpPr/>
      </xdr:nvSpPr>
      <xdr:spPr bwMode="auto">
        <a:xfrm>
          <a:off x="121920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10</xdr:row>
      <xdr:rowOff>119063</xdr:rowOff>
    </xdr:from>
    <xdr:to>
      <xdr:col>24</xdr:col>
      <xdr:colOff>0</xdr:colOff>
      <xdr:row>10</xdr:row>
      <xdr:rowOff>261938</xdr:rowOff>
    </xdr:to>
    <xdr:sp macro="" textlink="">
      <xdr:nvSpPr>
        <xdr:cNvPr id="4" name="自動予定11">
          <a:extLst>
            <a:ext uri="{FF2B5EF4-FFF2-40B4-BE49-F238E27FC236}">
              <a16:creationId xmlns:a16="http://schemas.microsoft.com/office/drawing/2014/main" id="{E85AB11E-BCFD-8E5B-9B03-EAAFCB627845}"/>
            </a:ext>
          </a:extLst>
        </xdr:cNvPr>
        <xdr:cNvSpPr/>
      </xdr:nvSpPr>
      <xdr:spPr bwMode="auto">
        <a:xfrm>
          <a:off x="1219200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9</xdr:row>
      <xdr:rowOff>119063</xdr:rowOff>
    </xdr:from>
    <xdr:to>
      <xdr:col>20</xdr:col>
      <xdr:colOff>0</xdr:colOff>
      <xdr:row>9</xdr:row>
      <xdr:rowOff>261938</xdr:rowOff>
    </xdr:to>
    <xdr:sp macro="" textlink="">
      <xdr:nvSpPr>
        <xdr:cNvPr id="2" name="自動予定10">
          <a:extLst>
            <a:ext uri="{FF2B5EF4-FFF2-40B4-BE49-F238E27FC236}">
              <a16:creationId xmlns:a16="http://schemas.microsoft.com/office/drawing/2014/main" id="{116D663E-FB28-A220-55C1-32AA5244FFA1}"/>
            </a:ext>
          </a:extLst>
        </xdr:cNvPr>
        <xdr:cNvSpPr/>
      </xdr:nvSpPr>
      <xdr:spPr bwMode="auto">
        <a:xfrm>
          <a:off x="115443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9</xdr:row>
      <xdr:rowOff>233363</xdr:rowOff>
    </xdr:from>
    <xdr:to>
      <xdr:col>20</xdr:col>
      <xdr:colOff>0</xdr:colOff>
      <xdr:row>9</xdr:row>
      <xdr:rowOff>233363</xdr:rowOff>
    </xdr:to>
    <xdr:cxnSp macro="">
      <xdr:nvCxnSpPr>
        <xdr:cNvPr id="3" name="自動進捗10">
          <a:extLst>
            <a:ext uri="{FF2B5EF4-FFF2-40B4-BE49-F238E27FC236}">
              <a16:creationId xmlns:a16="http://schemas.microsoft.com/office/drawing/2014/main" id="{62CCD180-69E1-6B7C-0965-F1DDDFB0914F}"/>
            </a:ext>
          </a:extLst>
        </xdr:cNvPr>
        <xdr:cNvCxnSpPr/>
      </xdr:nvCxnSpPr>
      <xdr:spPr bwMode="auto">
        <a:xfrm>
          <a:off x="11544300" y="1881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10</xdr:row>
      <xdr:rowOff>233363</xdr:rowOff>
    </xdr:from>
    <xdr:to>
      <xdr:col>24</xdr:col>
      <xdr:colOff>0</xdr:colOff>
      <xdr:row>10</xdr:row>
      <xdr:rowOff>233363</xdr:rowOff>
    </xdr:to>
    <xdr:cxnSp macro="">
      <xdr:nvCxnSpPr>
        <xdr:cNvPr id="5" name="自動進捗11">
          <a:extLst>
            <a:ext uri="{FF2B5EF4-FFF2-40B4-BE49-F238E27FC236}">
              <a16:creationId xmlns:a16="http://schemas.microsoft.com/office/drawing/2014/main" id="{228126D7-E20A-D133-ED9E-6E6A46E6E693}"/>
            </a:ext>
          </a:extLst>
        </xdr:cNvPr>
        <xdr:cNvCxnSpPr/>
      </xdr:nvCxnSpPr>
      <xdr:spPr bwMode="auto">
        <a:xfrm>
          <a:off x="12192000" y="2262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233363</xdr:rowOff>
    </xdr:from>
    <xdr:to>
      <xdr:col>24</xdr:col>
      <xdr:colOff>0</xdr:colOff>
      <xdr:row>11</xdr:row>
      <xdr:rowOff>233363</xdr:rowOff>
    </xdr:to>
    <xdr:cxnSp macro="">
      <xdr:nvCxnSpPr>
        <xdr:cNvPr id="7" name="自動進捗12">
          <a:extLst>
            <a:ext uri="{FF2B5EF4-FFF2-40B4-BE49-F238E27FC236}">
              <a16:creationId xmlns:a16="http://schemas.microsoft.com/office/drawing/2014/main" id="{2D81C8FF-FEAD-6A2A-36A1-0DFFBEA3AB10}"/>
            </a:ext>
          </a:extLst>
        </xdr:cNvPr>
        <xdr:cNvCxnSpPr/>
      </xdr:nvCxnSpPr>
      <xdr:spPr bwMode="auto">
        <a:xfrm>
          <a:off x="12192000" y="2643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12</xdr:row>
      <xdr:rowOff>233363</xdr:rowOff>
    </xdr:from>
    <xdr:to>
      <xdr:col>25</xdr:col>
      <xdr:colOff>0</xdr:colOff>
      <xdr:row>12</xdr:row>
      <xdr:rowOff>233363</xdr:rowOff>
    </xdr:to>
    <xdr:cxnSp macro="">
      <xdr:nvCxnSpPr>
        <xdr:cNvPr id="9" name="自動進捗13">
          <a:extLst>
            <a:ext uri="{FF2B5EF4-FFF2-40B4-BE49-F238E27FC236}">
              <a16:creationId xmlns:a16="http://schemas.microsoft.com/office/drawing/2014/main" id="{F98BCE41-6583-C9EC-6AB2-4C9692B0139E}"/>
            </a:ext>
          </a:extLst>
        </xdr:cNvPr>
        <xdr:cNvCxnSpPr/>
      </xdr:nvCxnSpPr>
      <xdr:spPr bwMode="auto">
        <a:xfrm>
          <a:off x="12353925" y="3024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13</xdr:row>
      <xdr:rowOff>233363</xdr:rowOff>
    </xdr:from>
    <xdr:to>
      <xdr:col>25</xdr:col>
      <xdr:colOff>0</xdr:colOff>
      <xdr:row>13</xdr:row>
      <xdr:rowOff>233363</xdr:rowOff>
    </xdr:to>
    <xdr:cxnSp macro="">
      <xdr:nvCxnSpPr>
        <xdr:cNvPr id="11" name="自動進捗14">
          <a:extLst>
            <a:ext uri="{FF2B5EF4-FFF2-40B4-BE49-F238E27FC236}">
              <a16:creationId xmlns:a16="http://schemas.microsoft.com/office/drawing/2014/main" id="{136C5231-14E5-148C-D21A-C2C7842ACCF0}"/>
            </a:ext>
          </a:extLst>
        </xdr:cNvPr>
        <xdr:cNvCxnSpPr/>
      </xdr:nvCxnSpPr>
      <xdr:spPr bwMode="auto">
        <a:xfrm>
          <a:off x="12353925" y="340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14</xdr:row>
      <xdr:rowOff>233363</xdr:rowOff>
    </xdr:from>
    <xdr:to>
      <xdr:col>31</xdr:col>
      <xdr:colOff>0</xdr:colOff>
      <xdr:row>14</xdr:row>
      <xdr:rowOff>233363</xdr:rowOff>
    </xdr:to>
    <xdr:cxnSp macro="">
      <xdr:nvCxnSpPr>
        <xdr:cNvPr id="13" name="自動進捗15">
          <a:extLst>
            <a:ext uri="{FF2B5EF4-FFF2-40B4-BE49-F238E27FC236}">
              <a16:creationId xmlns:a16="http://schemas.microsoft.com/office/drawing/2014/main" id="{4D6D0561-6923-97F1-B6F7-3EA5C4054C90}"/>
            </a:ext>
          </a:extLst>
        </xdr:cNvPr>
        <xdr:cNvCxnSpPr/>
      </xdr:nvCxnSpPr>
      <xdr:spPr bwMode="auto">
        <a:xfrm>
          <a:off x="134874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26</xdr:col>
      <xdr:colOff>0</xdr:colOff>
      <xdr:row>15</xdr:row>
      <xdr:rowOff>233363</xdr:rowOff>
    </xdr:to>
    <xdr:cxnSp macro="">
      <xdr:nvCxnSpPr>
        <xdr:cNvPr id="15" name="自動進捗16">
          <a:extLst>
            <a:ext uri="{FF2B5EF4-FFF2-40B4-BE49-F238E27FC236}">
              <a16:creationId xmlns:a16="http://schemas.microsoft.com/office/drawing/2014/main" id="{D2AFCFB4-91E3-AF43-BD95-F893B3752E24}"/>
            </a:ext>
          </a:extLst>
        </xdr:cNvPr>
        <xdr:cNvCxnSpPr/>
      </xdr:nvCxnSpPr>
      <xdr:spPr bwMode="auto">
        <a:xfrm>
          <a:off x="12515850" y="416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16</xdr:row>
      <xdr:rowOff>233363</xdr:rowOff>
    </xdr:from>
    <xdr:to>
      <xdr:col>26</xdr:col>
      <xdr:colOff>0</xdr:colOff>
      <xdr:row>16</xdr:row>
      <xdr:rowOff>233363</xdr:rowOff>
    </xdr:to>
    <xdr:cxnSp macro="">
      <xdr:nvCxnSpPr>
        <xdr:cNvPr id="17" name="自動進捗17">
          <a:extLst>
            <a:ext uri="{FF2B5EF4-FFF2-40B4-BE49-F238E27FC236}">
              <a16:creationId xmlns:a16="http://schemas.microsoft.com/office/drawing/2014/main" id="{A6A44A77-A593-601A-E43C-F1D1C9E0B682}"/>
            </a:ext>
          </a:extLst>
        </xdr:cNvPr>
        <xdr:cNvCxnSpPr/>
      </xdr:nvCxnSpPr>
      <xdr:spPr bwMode="auto">
        <a:xfrm>
          <a:off x="12515850" y="4548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17</xdr:row>
      <xdr:rowOff>233363</xdr:rowOff>
    </xdr:from>
    <xdr:to>
      <xdr:col>30</xdr:col>
      <xdr:colOff>0</xdr:colOff>
      <xdr:row>17</xdr:row>
      <xdr:rowOff>233363</xdr:rowOff>
    </xdr:to>
    <xdr:cxnSp macro="">
      <xdr:nvCxnSpPr>
        <xdr:cNvPr id="19" name="自動進捗18">
          <a:extLst>
            <a:ext uri="{FF2B5EF4-FFF2-40B4-BE49-F238E27FC236}">
              <a16:creationId xmlns:a16="http://schemas.microsoft.com/office/drawing/2014/main" id="{0E759677-A184-4339-BA04-DF0FEB72D0C4}"/>
            </a:ext>
          </a:extLst>
        </xdr:cNvPr>
        <xdr:cNvCxnSpPr/>
      </xdr:nvCxnSpPr>
      <xdr:spPr bwMode="auto">
        <a:xfrm>
          <a:off x="12677775" y="4929188"/>
          <a:ext cx="64770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32</xdr:col>
      <xdr:colOff>0</xdr:colOff>
      <xdr:row>18</xdr:row>
      <xdr:rowOff>233363</xdr:rowOff>
    </xdr:to>
    <xdr:cxnSp macro="">
      <xdr:nvCxnSpPr>
        <xdr:cNvPr id="22" name="自動進捗19">
          <a:extLst>
            <a:ext uri="{FF2B5EF4-FFF2-40B4-BE49-F238E27FC236}">
              <a16:creationId xmlns:a16="http://schemas.microsoft.com/office/drawing/2014/main" id="{985DE6C8-7D91-B98C-D41D-A244E1C9E1D0}"/>
            </a:ext>
          </a:extLst>
        </xdr:cNvPr>
        <xdr:cNvCxnSpPr/>
      </xdr:nvCxnSpPr>
      <xdr:spPr bwMode="auto">
        <a:xfrm>
          <a:off x="13325475" y="5310188"/>
          <a:ext cx="32385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19</xdr:row>
      <xdr:rowOff>233363</xdr:rowOff>
    </xdr:from>
    <xdr:to>
      <xdr:col>34</xdr:col>
      <xdr:colOff>0</xdr:colOff>
      <xdr:row>19</xdr:row>
      <xdr:rowOff>233363</xdr:rowOff>
    </xdr:to>
    <xdr:cxnSp macro="">
      <xdr:nvCxnSpPr>
        <xdr:cNvPr id="24" name="自動進捗20">
          <a:extLst>
            <a:ext uri="{FF2B5EF4-FFF2-40B4-BE49-F238E27FC236}">
              <a16:creationId xmlns:a16="http://schemas.microsoft.com/office/drawing/2014/main" id="{72B67E26-070C-2258-D495-6086E9852ABD}"/>
            </a:ext>
          </a:extLst>
        </xdr:cNvPr>
        <xdr:cNvCxnSpPr/>
      </xdr:nvCxnSpPr>
      <xdr:spPr bwMode="auto">
        <a:xfrm>
          <a:off x="13487400" y="5691188"/>
          <a:ext cx="48577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21</xdr:row>
      <xdr:rowOff>233363</xdr:rowOff>
    </xdr:from>
    <xdr:to>
      <xdr:col>43</xdr:col>
      <xdr:colOff>0</xdr:colOff>
      <xdr:row>21</xdr:row>
      <xdr:rowOff>233363</xdr:rowOff>
    </xdr:to>
    <xdr:cxnSp macro="">
      <xdr:nvCxnSpPr>
        <xdr:cNvPr id="26" name="自動進捗22">
          <a:extLst>
            <a:ext uri="{FF2B5EF4-FFF2-40B4-BE49-F238E27FC236}">
              <a16:creationId xmlns:a16="http://schemas.microsoft.com/office/drawing/2014/main" id="{2AA01B22-3E07-F392-3B5F-A1D1180DEC0F}"/>
            </a:ext>
          </a:extLst>
        </xdr:cNvPr>
        <xdr:cNvCxnSpPr/>
      </xdr:nvCxnSpPr>
      <xdr:spPr bwMode="auto">
        <a:xfrm>
          <a:off x="15430500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23</xdr:row>
      <xdr:rowOff>233363</xdr:rowOff>
    </xdr:from>
    <xdr:to>
      <xdr:col>30</xdr:col>
      <xdr:colOff>0</xdr:colOff>
      <xdr:row>23</xdr:row>
      <xdr:rowOff>233363</xdr:rowOff>
    </xdr:to>
    <xdr:cxnSp macro="">
      <xdr:nvCxnSpPr>
        <xdr:cNvPr id="28" name="自動進捗24">
          <a:extLst>
            <a:ext uri="{FF2B5EF4-FFF2-40B4-BE49-F238E27FC236}">
              <a16:creationId xmlns:a16="http://schemas.microsoft.com/office/drawing/2014/main" id="{C69C35AD-4D24-61EC-9B24-C2487A1B3B07}"/>
            </a:ext>
          </a:extLst>
        </xdr:cNvPr>
        <xdr:cNvCxnSpPr/>
      </xdr:nvCxnSpPr>
      <xdr:spPr bwMode="auto">
        <a:xfrm>
          <a:off x="13163550" y="721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24</xdr:row>
      <xdr:rowOff>233363</xdr:rowOff>
    </xdr:from>
    <xdr:to>
      <xdr:col>31</xdr:col>
      <xdr:colOff>0</xdr:colOff>
      <xdr:row>24</xdr:row>
      <xdr:rowOff>233363</xdr:rowOff>
    </xdr:to>
    <xdr:cxnSp macro="">
      <xdr:nvCxnSpPr>
        <xdr:cNvPr id="30" name="自動進捗25">
          <a:extLst>
            <a:ext uri="{FF2B5EF4-FFF2-40B4-BE49-F238E27FC236}">
              <a16:creationId xmlns:a16="http://schemas.microsoft.com/office/drawing/2014/main" id="{BAFED0BB-8EC0-639B-4C8F-01D8B3C367C5}"/>
            </a:ext>
          </a:extLst>
        </xdr:cNvPr>
        <xdr:cNvCxnSpPr/>
      </xdr:nvCxnSpPr>
      <xdr:spPr bwMode="auto">
        <a:xfrm>
          <a:off x="13325475" y="7596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25</xdr:row>
      <xdr:rowOff>233363</xdr:rowOff>
    </xdr:from>
    <xdr:to>
      <xdr:col>32</xdr:col>
      <xdr:colOff>0</xdr:colOff>
      <xdr:row>25</xdr:row>
      <xdr:rowOff>233363</xdr:rowOff>
    </xdr:to>
    <xdr:cxnSp macro="">
      <xdr:nvCxnSpPr>
        <xdr:cNvPr id="32" name="自動進捗26">
          <a:extLst>
            <a:ext uri="{FF2B5EF4-FFF2-40B4-BE49-F238E27FC236}">
              <a16:creationId xmlns:a16="http://schemas.microsoft.com/office/drawing/2014/main" id="{5E0F88F3-83A1-B791-99D3-74D8C9F34FA6}"/>
            </a:ext>
          </a:extLst>
        </xdr:cNvPr>
        <xdr:cNvCxnSpPr/>
      </xdr:nvCxnSpPr>
      <xdr:spPr bwMode="auto">
        <a:xfrm>
          <a:off x="13487400" y="797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26</xdr:row>
      <xdr:rowOff>233363</xdr:rowOff>
    </xdr:from>
    <xdr:to>
      <xdr:col>32</xdr:col>
      <xdr:colOff>0</xdr:colOff>
      <xdr:row>26</xdr:row>
      <xdr:rowOff>233363</xdr:rowOff>
    </xdr:to>
    <xdr:cxnSp macro="">
      <xdr:nvCxnSpPr>
        <xdr:cNvPr id="34" name="自動進捗27">
          <a:extLst>
            <a:ext uri="{FF2B5EF4-FFF2-40B4-BE49-F238E27FC236}">
              <a16:creationId xmlns:a16="http://schemas.microsoft.com/office/drawing/2014/main" id="{25410779-3A93-C581-724C-6FB56F5444D8}"/>
            </a:ext>
          </a:extLst>
        </xdr:cNvPr>
        <xdr:cNvCxnSpPr/>
      </xdr:nvCxnSpPr>
      <xdr:spPr bwMode="auto">
        <a:xfrm>
          <a:off x="1364932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27</xdr:row>
      <xdr:rowOff>233363</xdr:rowOff>
    </xdr:from>
    <xdr:to>
      <xdr:col>36</xdr:col>
      <xdr:colOff>0</xdr:colOff>
      <xdr:row>27</xdr:row>
      <xdr:rowOff>233363</xdr:rowOff>
    </xdr:to>
    <xdr:cxnSp macro="">
      <xdr:nvCxnSpPr>
        <xdr:cNvPr id="36" name="自動進捗28">
          <a:extLst>
            <a:ext uri="{FF2B5EF4-FFF2-40B4-BE49-F238E27FC236}">
              <a16:creationId xmlns:a16="http://schemas.microsoft.com/office/drawing/2014/main" id="{58D8EA44-D790-EE11-BE43-5F43AEFC14ED}"/>
            </a:ext>
          </a:extLst>
        </xdr:cNvPr>
        <xdr:cNvCxnSpPr/>
      </xdr:nvCxnSpPr>
      <xdr:spPr bwMode="auto">
        <a:xfrm>
          <a:off x="1429702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28</xdr:row>
      <xdr:rowOff>233363</xdr:rowOff>
    </xdr:from>
    <xdr:to>
      <xdr:col>43</xdr:col>
      <xdr:colOff>0</xdr:colOff>
      <xdr:row>28</xdr:row>
      <xdr:rowOff>233363</xdr:rowOff>
    </xdr:to>
    <xdr:cxnSp macro="">
      <xdr:nvCxnSpPr>
        <xdr:cNvPr id="38" name="自動進捗29">
          <a:extLst>
            <a:ext uri="{FF2B5EF4-FFF2-40B4-BE49-F238E27FC236}">
              <a16:creationId xmlns:a16="http://schemas.microsoft.com/office/drawing/2014/main" id="{FA7EA674-F097-CB31-FD99-C540FCCD8EEE}"/>
            </a:ext>
          </a:extLst>
        </xdr:cNvPr>
        <xdr:cNvCxnSpPr/>
      </xdr:nvCxnSpPr>
      <xdr:spPr bwMode="auto">
        <a:xfrm>
          <a:off x="154305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29</xdr:row>
      <xdr:rowOff>233363</xdr:rowOff>
    </xdr:from>
    <xdr:to>
      <xdr:col>43</xdr:col>
      <xdr:colOff>0</xdr:colOff>
      <xdr:row>29</xdr:row>
      <xdr:rowOff>233363</xdr:rowOff>
    </xdr:to>
    <xdr:cxnSp macro="">
      <xdr:nvCxnSpPr>
        <xdr:cNvPr id="40" name="自動進捗30">
          <a:extLst>
            <a:ext uri="{FF2B5EF4-FFF2-40B4-BE49-F238E27FC236}">
              <a16:creationId xmlns:a16="http://schemas.microsoft.com/office/drawing/2014/main" id="{676C375D-57B1-9081-BC02-2C46002A2384}"/>
            </a:ext>
          </a:extLst>
        </xdr:cNvPr>
        <xdr:cNvCxnSpPr/>
      </xdr:nvCxnSpPr>
      <xdr:spPr bwMode="auto">
        <a:xfrm>
          <a:off x="154305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46</xdr:col>
      <xdr:colOff>0</xdr:colOff>
      <xdr:row>30</xdr:row>
      <xdr:rowOff>233363</xdr:rowOff>
    </xdr:from>
    <xdr:to>
      <xdr:col>46</xdr:col>
      <xdr:colOff>0</xdr:colOff>
      <xdr:row>30</xdr:row>
      <xdr:rowOff>233363</xdr:rowOff>
    </xdr:to>
    <xdr:cxnSp macro="">
      <xdr:nvCxnSpPr>
        <xdr:cNvPr id="42" name="自動進捗31">
          <a:extLst>
            <a:ext uri="{FF2B5EF4-FFF2-40B4-BE49-F238E27FC236}">
              <a16:creationId xmlns:a16="http://schemas.microsoft.com/office/drawing/2014/main" id="{E0BB503F-9CDE-FF3B-9394-9EBCDC7CAEAC}"/>
            </a:ext>
          </a:extLst>
        </xdr:cNvPr>
        <xdr:cNvCxnSpPr/>
      </xdr:nvCxnSpPr>
      <xdr:spPr bwMode="auto">
        <a:xfrm>
          <a:off x="15916275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50</xdr:col>
      <xdr:colOff>0</xdr:colOff>
      <xdr:row>31</xdr:row>
      <xdr:rowOff>233363</xdr:rowOff>
    </xdr:from>
    <xdr:to>
      <xdr:col>50</xdr:col>
      <xdr:colOff>0</xdr:colOff>
      <xdr:row>31</xdr:row>
      <xdr:rowOff>233363</xdr:rowOff>
    </xdr:to>
    <xdr:cxnSp macro="">
      <xdr:nvCxnSpPr>
        <xdr:cNvPr id="44" name="自動進捗32">
          <a:extLst>
            <a:ext uri="{FF2B5EF4-FFF2-40B4-BE49-F238E27FC236}">
              <a16:creationId xmlns:a16="http://schemas.microsoft.com/office/drawing/2014/main" id="{64DE0A57-31A9-75B1-0190-937A1F3DD93D}"/>
            </a:ext>
          </a:extLst>
        </xdr:cNvPr>
        <xdr:cNvCxnSpPr/>
      </xdr:nvCxnSpPr>
      <xdr:spPr bwMode="auto">
        <a:xfrm>
          <a:off x="1661160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32</xdr:row>
      <xdr:rowOff>233363</xdr:rowOff>
    </xdr:from>
    <xdr:to>
      <xdr:col>59</xdr:col>
      <xdr:colOff>0</xdr:colOff>
      <xdr:row>32</xdr:row>
      <xdr:rowOff>233363</xdr:rowOff>
    </xdr:to>
    <xdr:cxnSp macro="">
      <xdr:nvCxnSpPr>
        <xdr:cNvPr id="46" name="自動進捗33">
          <a:extLst>
            <a:ext uri="{FF2B5EF4-FFF2-40B4-BE49-F238E27FC236}">
              <a16:creationId xmlns:a16="http://schemas.microsoft.com/office/drawing/2014/main" id="{4EC03CE4-7F0F-E84C-3921-9336B6DD9AEA}"/>
            </a:ext>
          </a:extLst>
        </xdr:cNvPr>
        <xdr:cNvCxnSpPr/>
      </xdr:nvCxnSpPr>
      <xdr:spPr bwMode="auto">
        <a:xfrm>
          <a:off x="1806892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34</xdr:row>
      <xdr:rowOff>233363</xdr:rowOff>
    </xdr:from>
    <xdr:to>
      <xdr:col>58</xdr:col>
      <xdr:colOff>0</xdr:colOff>
      <xdr:row>34</xdr:row>
      <xdr:rowOff>233363</xdr:rowOff>
    </xdr:to>
    <xdr:cxnSp macro="">
      <xdr:nvCxnSpPr>
        <xdr:cNvPr id="48" name="自動進捗35">
          <a:extLst>
            <a:ext uri="{FF2B5EF4-FFF2-40B4-BE49-F238E27FC236}">
              <a16:creationId xmlns:a16="http://schemas.microsoft.com/office/drawing/2014/main" id="{EF3CF829-ECC3-8200-2C57-BD770F01F5E0}"/>
            </a:ext>
          </a:extLst>
        </xdr:cNvPr>
        <xdr:cNvCxnSpPr/>
      </xdr:nvCxnSpPr>
      <xdr:spPr bwMode="auto">
        <a:xfrm>
          <a:off x="179070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35</xdr:row>
      <xdr:rowOff>233363</xdr:rowOff>
    </xdr:from>
    <xdr:to>
      <xdr:col>59</xdr:col>
      <xdr:colOff>0</xdr:colOff>
      <xdr:row>35</xdr:row>
      <xdr:rowOff>233363</xdr:rowOff>
    </xdr:to>
    <xdr:cxnSp macro="">
      <xdr:nvCxnSpPr>
        <xdr:cNvPr id="50" name="自動進捗36">
          <a:extLst>
            <a:ext uri="{FF2B5EF4-FFF2-40B4-BE49-F238E27FC236}">
              <a16:creationId xmlns:a16="http://schemas.microsoft.com/office/drawing/2014/main" id="{7B33AAE7-9A37-03E6-2DA3-E8E3E1EC6BAE}"/>
            </a:ext>
          </a:extLst>
        </xdr:cNvPr>
        <xdr:cNvCxnSpPr/>
      </xdr:nvCxnSpPr>
      <xdr:spPr bwMode="auto">
        <a:xfrm>
          <a:off x="180689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60</xdr:col>
      <xdr:colOff>0</xdr:colOff>
      <xdr:row>36</xdr:row>
      <xdr:rowOff>233363</xdr:rowOff>
    </xdr:from>
    <xdr:to>
      <xdr:col>60</xdr:col>
      <xdr:colOff>0</xdr:colOff>
      <xdr:row>36</xdr:row>
      <xdr:rowOff>233363</xdr:rowOff>
    </xdr:to>
    <xdr:cxnSp macro="">
      <xdr:nvCxnSpPr>
        <xdr:cNvPr id="52" name="自動進捗37">
          <a:extLst>
            <a:ext uri="{FF2B5EF4-FFF2-40B4-BE49-F238E27FC236}">
              <a16:creationId xmlns:a16="http://schemas.microsoft.com/office/drawing/2014/main" id="{EA8B1734-ED7B-C4D4-F274-327598EA79F7}"/>
            </a:ext>
          </a:extLst>
        </xdr:cNvPr>
        <xdr:cNvCxnSpPr/>
      </xdr:nvCxnSpPr>
      <xdr:spPr bwMode="auto">
        <a:xfrm>
          <a:off x="182308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37</xdr:row>
      <xdr:rowOff>233363</xdr:rowOff>
    </xdr:from>
    <xdr:to>
      <xdr:col>66</xdr:col>
      <xdr:colOff>0</xdr:colOff>
      <xdr:row>37</xdr:row>
      <xdr:rowOff>233363</xdr:rowOff>
    </xdr:to>
    <xdr:cxnSp macro="">
      <xdr:nvCxnSpPr>
        <xdr:cNvPr id="54" name="自動進捗38">
          <a:extLst>
            <a:ext uri="{FF2B5EF4-FFF2-40B4-BE49-F238E27FC236}">
              <a16:creationId xmlns:a16="http://schemas.microsoft.com/office/drawing/2014/main" id="{98D2D53A-1334-FDAC-A1F9-84E1C925F40B}"/>
            </a:ext>
          </a:extLst>
        </xdr:cNvPr>
        <xdr:cNvCxnSpPr/>
      </xdr:nvCxnSpPr>
      <xdr:spPr bwMode="auto">
        <a:xfrm>
          <a:off x="192024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71</xdr:col>
      <xdr:colOff>0</xdr:colOff>
      <xdr:row>38</xdr:row>
      <xdr:rowOff>233363</xdr:rowOff>
    </xdr:from>
    <xdr:to>
      <xdr:col>71</xdr:col>
      <xdr:colOff>0</xdr:colOff>
      <xdr:row>38</xdr:row>
      <xdr:rowOff>233363</xdr:rowOff>
    </xdr:to>
    <xdr:cxnSp macro="">
      <xdr:nvCxnSpPr>
        <xdr:cNvPr id="56" name="自動進捗39">
          <a:extLst>
            <a:ext uri="{FF2B5EF4-FFF2-40B4-BE49-F238E27FC236}">
              <a16:creationId xmlns:a16="http://schemas.microsoft.com/office/drawing/2014/main" id="{633EE929-A69F-163E-9E44-BFC303F689FA}"/>
            </a:ext>
          </a:extLst>
        </xdr:cNvPr>
        <xdr:cNvCxnSpPr/>
      </xdr:nvCxnSpPr>
      <xdr:spPr bwMode="auto">
        <a:xfrm>
          <a:off x="200025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78</xdr:col>
      <xdr:colOff>0</xdr:colOff>
      <xdr:row>39</xdr:row>
      <xdr:rowOff>233363</xdr:rowOff>
    </xdr:from>
    <xdr:to>
      <xdr:col>78</xdr:col>
      <xdr:colOff>0</xdr:colOff>
      <xdr:row>39</xdr:row>
      <xdr:rowOff>233363</xdr:rowOff>
    </xdr:to>
    <xdr:cxnSp macro="">
      <xdr:nvCxnSpPr>
        <xdr:cNvPr id="58" name="自動進捗40">
          <a:extLst>
            <a:ext uri="{FF2B5EF4-FFF2-40B4-BE49-F238E27FC236}">
              <a16:creationId xmlns:a16="http://schemas.microsoft.com/office/drawing/2014/main" id="{A51C79D7-7A3E-5CF4-CDB1-AABF66F789E3}"/>
            </a:ext>
          </a:extLst>
        </xdr:cNvPr>
        <xdr:cNvCxnSpPr/>
      </xdr:nvCxnSpPr>
      <xdr:spPr bwMode="auto">
        <a:xfrm>
          <a:off x="2113597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40</xdr:row>
      <xdr:rowOff>233363</xdr:rowOff>
    </xdr:from>
    <xdr:to>
      <xdr:col>86</xdr:col>
      <xdr:colOff>0</xdr:colOff>
      <xdr:row>40</xdr:row>
      <xdr:rowOff>233363</xdr:rowOff>
    </xdr:to>
    <xdr:cxnSp macro="">
      <xdr:nvCxnSpPr>
        <xdr:cNvPr id="60" name="自動進捗41">
          <a:extLst>
            <a:ext uri="{FF2B5EF4-FFF2-40B4-BE49-F238E27FC236}">
              <a16:creationId xmlns:a16="http://schemas.microsoft.com/office/drawing/2014/main" id="{2015D2A8-C3AA-AFF1-38CF-FA482EF12047}"/>
            </a:ext>
          </a:extLst>
        </xdr:cNvPr>
        <xdr:cNvCxnSpPr/>
      </xdr:nvCxnSpPr>
      <xdr:spPr bwMode="auto">
        <a:xfrm>
          <a:off x="224313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41</xdr:row>
      <xdr:rowOff>233363</xdr:rowOff>
    </xdr:from>
    <xdr:to>
      <xdr:col>92</xdr:col>
      <xdr:colOff>0</xdr:colOff>
      <xdr:row>41</xdr:row>
      <xdr:rowOff>233363</xdr:rowOff>
    </xdr:to>
    <xdr:cxnSp macro="">
      <xdr:nvCxnSpPr>
        <xdr:cNvPr id="62" name="自動進捗42">
          <a:extLst>
            <a:ext uri="{FF2B5EF4-FFF2-40B4-BE49-F238E27FC236}">
              <a16:creationId xmlns:a16="http://schemas.microsoft.com/office/drawing/2014/main" id="{47BB946D-83C4-90BD-6295-DFD29F02265B}"/>
            </a:ext>
          </a:extLst>
        </xdr:cNvPr>
        <xdr:cNvCxnSpPr/>
      </xdr:nvCxnSpPr>
      <xdr:spPr bwMode="auto">
        <a:xfrm>
          <a:off x="2340292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99</xdr:col>
      <xdr:colOff>0</xdr:colOff>
      <xdr:row>42</xdr:row>
      <xdr:rowOff>233363</xdr:rowOff>
    </xdr:from>
    <xdr:to>
      <xdr:col>99</xdr:col>
      <xdr:colOff>0</xdr:colOff>
      <xdr:row>42</xdr:row>
      <xdr:rowOff>233363</xdr:rowOff>
    </xdr:to>
    <xdr:cxnSp macro="">
      <xdr:nvCxnSpPr>
        <xdr:cNvPr id="115712" name="自動進捗43">
          <a:extLst>
            <a:ext uri="{FF2B5EF4-FFF2-40B4-BE49-F238E27FC236}">
              <a16:creationId xmlns:a16="http://schemas.microsoft.com/office/drawing/2014/main" id="{7ADF5D36-116B-44F3-A2BD-E422365D7F28}"/>
            </a:ext>
          </a:extLst>
        </xdr:cNvPr>
        <xdr:cNvCxnSpPr/>
      </xdr:nvCxnSpPr>
      <xdr:spPr bwMode="auto">
        <a:xfrm>
          <a:off x="2453640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43</xdr:row>
      <xdr:rowOff>233363</xdr:rowOff>
    </xdr:from>
    <xdr:to>
      <xdr:col>73</xdr:col>
      <xdr:colOff>0</xdr:colOff>
      <xdr:row>43</xdr:row>
      <xdr:rowOff>233363</xdr:rowOff>
    </xdr:to>
    <xdr:cxnSp macro="">
      <xdr:nvCxnSpPr>
        <xdr:cNvPr id="115715" name="自動進捗44">
          <a:extLst>
            <a:ext uri="{FF2B5EF4-FFF2-40B4-BE49-F238E27FC236}">
              <a16:creationId xmlns:a16="http://schemas.microsoft.com/office/drawing/2014/main" id="{26511D83-5E78-50E9-54EB-EF55142055CE}"/>
            </a:ext>
          </a:extLst>
        </xdr:cNvPr>
        <xdr:cNvCxnSpPr/>
      </xdr:nvCxnSpPr>
      <xdr:spPr bwMode="auto">
        <a:xfrm>
          <a:off x="20326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107</xdr:col>
      <xdr:colOff>0</xdr:colOff>
      <xdr:row>44</xdr:row>
      <xdr:rowOff>233363</xdr:rowOff>
    </xdr:from>
    <xdr:to>
      <xdr:col>107</xdr:col>
      <xdr:colOff>0</xdr:colOff>
      <xdr:row>44</xdr:row>
      <xdr:rowOff>233363</xdr:rowOff>
    </xdr:to>
    <xdr:cxnSp macro="">
      <xdr:nvCxnSpPr>
        <xdr:cNvPr id="115717" name="自動進捗45">
          <a:extLst>
            <a:ext uri="{FF2B5EF4-FFF2-40B4-BE49-F238E27FC236}">
              <a16:creationId xmlns:a16="http://schemas.microsoft.com/office/drawing/2014/main" id="{FA5EC16F-8A83-6A2C-9D89-17A4D7C12BEC}"/>
            </a:ext>
          </a:extLst>
        </xdr:cNvPr>
        <xdr:cNvCxnSpPr/>
      </xdr:nvCxnSpPr>
      <xdr:spPr bwMode="auto">
        <a:xfrm>
          <a:off x="25831800" y="1521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85</xdr:col>
      <xdr:colOff>0</xdr:colOff>
      <xdr:row>45</xdr:row>
      <xdr:rowOff>233363</xdr:rowOff>
    </xdr:from>
    <xdr:to>
      <xdr:col>85</xdr:col>
      <xdr:colOff>0</xdr:colOff>
      <xdr:row>45</xdr:row>
      <xdr:rowOff>233363</xdr:rowOff>
    </xdr:to>
    <xdr:cxnSp macro="">
      <xdr:nvCxnSpPr>
        <xdr:cNvPr id="115719" name="自動進捗46">
          <a:extLst>
            <a:ext uri="{FF2B5EF4-FFF2-40B4-BE49-F238E27FC236}">
              <a16:creationId xmlns:a16="http://schemas.microsoft.com/office/drawing/2014/main" id="{5AEC4B5B-967A-AA5E-7A3A-B89963DD4118}"/>
            </a:ext>
          </a:extLst>
        </xdr:cNvPr>
        <xdr:cNvCxnSpPr/>
      </xdr:nvCxnSpPr>
      <xdr:spPr bwMode="auto">
        <a:xfrm>
          <a:off x="222694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46</xdr:row>
      <xdr:rowOff>233363</xdr:rowOff>
    </xdr:from>
    <xdr:to>
      <xdr:col>104</xdr:col>
      <xdr:colOff>0</xdr:colOff>
      <xdr:row>46</xdr:row>
      <xdr:rowOff>233363</xdr:rowOff>
    </xdr:to>
    <xdr:cxnSp macro="">
      <xdr:nvCxnSpPr>
        <xdr:cNvPr id="115721" name="自動進捗47">
          <a:extLst>
            <a:ext uri="{FF2B5EF4-FFF2-40B4-BE49-F238E27FC236}">
              <a16:creationId xmlns:a16="http://schemas.microsoft.com/office/drawing/2014/main" id="{9D86A06D-D0EE-0F02-4CB7-B850FC62FB64}"/>
            </a:ext>
          </a:extLst>
        </xdr:cNvPr>
        <xdr:cNvCxnSpPr/>
      </xdr:nvCxnSpPr>
      <xdr:spPr bwMode="auto">
        <a:xfrm>
          <a:off x="25346025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120</xdr:col>
      <xdr:colOff>0</xdr:colOff>
      <xdr:row>47</xdr:row>
      <xdr:rowOff>233363</xdr:rowOff>
    </xdr:from>
    <xdr:to>
      <xdr:col>120</xdr:col>
      <xdr:colOff>0</xdr:colOff>
      <xdr:row>47</xdr:row>
      <xdr:rowOff>233363</xdr:rowOff>
    </xdr:to>
    <xdr:cxnSp macro="">
      <xdr:nvCxnSpPr>
        <xdr:cNvPr id="115723" name="自動進捗48">
          <a:extLst>
            <a:ext uri="{FF2B5EF4-FFF2-40B4-BE49-F238E27FC236}">
              <a16:creationId xmlns:a16="http://schemas.microsoft.com/office/drawing/2014/main" id="{1BEBE2B3-AC5D-7120-BF5F-821366F7F348}"/>
            </a:ext>
          </a:extLst>
        </xdr:cNvPr>
        <xdr:cNvCxnSpPr/>
      </xdr:nvCxnSpPr>
      <xdr:spPr bwMode="auto">
        <a:xfrm>
          <a:off x="279368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48</xdr:row>
      <xdr:rowOff>233363</xdr:rowOff>
    </xdr:from>
    <xdr:to>
      <xdr:col>134</xdr:col>
      <xdr:colOff>0</xdr:colOff>
      <xdr:row>48</xdr:row>
      <xdr:rowOff>233363</xdr:rowOff>
    </xdr:to>
    <xdr:cxnSp macro="">
      <xdr:nvCxnSpPr>
        <xdr:cNvPr id="115725" name="自動進捗49">
          <a:extLst>
            <a:ext uri="{FF2B5EF4-FFF2-40B4-BE49-F238E27FC236}">
              <a16:creationId xmlns:a16="http://schemas.microsoft.com/office/drawing/2014/main" id="{273DD1F6-FD2B-8A37-47BF-1C3B1B0E8BD6}"/>
            </a:ext>
          </a:extLst>
        </xdr:cNvPr>
        <xdr:cNvCxnSpPr/>
      </xdr:nvCxnSpPr>
      <xdr:spPr bwMode="auto">
        <a:xfrm>
          <a:off x="30203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49</xdr:row>
      <xdr:rowOff>233363</xdr:rowOff>
    </xdr:from>
    <xdr:to>
      <xdr:col>104</xdr:col>
      <xdr:colOff>0</xdr:colOff>
      <xdr:row>49</xdr:row>
      <xdr:rowOff>233363</xdr:rowOff>
    </xdr:to>
    <xdr:cxnSp macro="">
      <xdr:nvCxnSpPr>
        <xdr:cNvPr id="115727" name="自動進捗50">
          <a:extLst>
            <a:ext uri="{FF2B5EF4-FFF2-40B4-BE49-F238E27FC236}">
              <a16:creationId xmlns:a16="http://schemas.microsoft.com/office/drawing/2014/main" id="{98816858-4D70-E39C-02FA-63872DD2B241}"/>
            </a:ext>
          </a:extLst>
        </xdr:cNvPr>
        <xdr:cNvCxnSpPr/>
      </xdr:nvCxnSpPr>
      <xdr:spPr bwMode="auto">
        <a:xfrm>
          <a:off x="2534602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50</xdr:row>
      <xdr:rowOff>233363</xdr:rowOff>
    </xdr:from>
    <xdr:to>
      <xdr:col>134</xdr:col>
      <xdr:colOff>0</xdr:colOff>
      <xdr:row>50</xdr:row>
      <xdr:rowOff>233363</xdr:rowOff>
    </xdr:to>
    <xdr:cxnSp macro="">
      <xdr:nvCxnSpPr>
        <xdr:cNvPr id="115729" name="自動進捗51">
          <a:extLst>
            <a:ext uri="{FF2B5EF4-FFF2-40B4-BE49-F238E27FC236}">
              <a16:creationId xmlns:a16="http://schemas.microsoft.com/office/drawing/2014/main" id="{A796C370-2589-C023-1E31-469AF6BB5A93}"/>
            </a:ext>
          </a:extLst>
        </xdr:cNvPr>
        <xdr:cNvCxnSpPr/>
      </xdr:nvCxnSpPr>
      <xdr:spPr bwMode="auto">
        <a:xfrm>
          <a:off x="3020377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51</xdr:row>
      <xdr:rowOff>233363</xdr:rowOff>
    </xdr:from>
    <xdr:to>
      <xdr:col>171</xdr:col>
      <xdr:colOff>0</xdr:colOff>
      <xdr:row>51</xdr:row>
      <xdr:rowOff>233363</xdr:rowOff>
    </xdr:to>
    <xdr:cxnSp macro="">
      <xdr:nvCxnSpPr>
        <xdr:cNvPr id="115731" name="自動進捗52">
          <a:extLst>
            <a:ext uri="{FF2B5EF4-FFF2-40B4-BE49-F238E27FC236}">
              <a16:creationId xmlns:a16="http://schemas.microsoft.com/office/drawing/2014/main" id="{4D244E72-3B65-36CE-EE4E-251189502B99}"/>
            </a:ext>
          </a:extLst>
        </xdr:cNvPr>
        <xdr:cNvCxnSpPr/>
      </xdr:nvCxnSpPr>
      <xdr:spPr bwMode="auto">
        <a:xfrm>
          <a:off x="362616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80963</xdr:colOff>
      <xdr:row>6</xdr:row>
      <xdr:rowOff>0</xdr:rowOff>
    </xdr:from>
    <xdr:to>
      <xdr:col>34</xdr:col>
      <xdr:colOff>1</xdr:colOff>
      <xdr:row>53</xdr:row>
      <xdr:rowOff>1</xdr:rowOff>
    </xdr:to>
    <xdr:sp macro="" textlink="">
      <xdr:nvSpPr>
        <xdr:cNvPr id="115732" name="自動判定250819110553">
          <a:extLst>
            <a:ext uri="{FF2B5EF4-FFF2-40B4-BE49-F238E27FC236}">
              <a16:creationId xmlns:a16="http://schemas.microsoft.com/office/drawing/2014/main" id="{108E05A8-7D9C-C8C4-AD58-94F0C9676C9B}"/>
            </a:ext>
          </a:extLst>
        </xdr:cNvPr>
        <xdr:cNvSpPr/>
      </xdr:nvSpPr>
      <xdr:spPr bwMode="auto">
        <a:xfrm>
          <a:off x="13406438" y="1647825"/>
          <a:ext cx="566738" cy="16668751"/>
        </a:xfrm>
        <a:custGeom>
          <a:avLst/>
          <a:gdLst/>
          <a:ahLst/>
          <a:cxnLst/>
          <a:rect l="0" t="0" r="0" b="0"/>
          <a:pathLst>
            <a:path w="566738" h="16668751">
              <a:moveTo>
                <a:pt x="0" y="0"/>
              </a:moveTo>
              <a:lnTo>
                <a:pt x="0" y="3548063"/>
              </a:lnTo>
              <a:lnTo>
                <a:pt x="242887" y="3619500"/>
              </a:lnTo>
              <a:lnTo>
                <a:pt x="0" y="3690938"/>
              </a:lnTo>
              <a:lnTo>
                <a:pt x="0" y="3929063"/>
              </a:lnTo>
              <a:lnTo>
                <a:pt x="566737" y="4000500"/>
              </a:lnTo>
              <a:lnTo>
                <a:pt x="0" y="4071938"/>
              </a:lnTo>
              <a:lnTo>
                <a:pt x="0" y="6215063"/>
              </a:lnTo>
              <a:lnTo>
                <a:pt x="242887" y="6286500"/>
              </a:lnTo>
              <a:lnTo>
                <a:pt x="0" y="6357938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6"/>
  <sheetViews>
    <sheetView showGridLines="0" tabSelected="1" zoomScaleNormal="100" zoomScaleSheetLayoutView="100" workbookViewId="0">
      <pane xSplit="5" ySplit="5" topLeftCell="F18" activePane="bottomRight" state="frozen"/>
      <selection pane="topRight" activeCell="F1" sqref="F1"/>
      <selection pane="bottomLeft" activeCell="A6" sqref="A6"/>
      <selection pane="bottomRight" activeCell="J27" sqref="J27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53" t="s">
        <v>23</v>
      </c>
      <c r="C1" s="254"/>
      <c r="D1" s="254"/>
      <c r="E1" s="254"/>
      <c r="F1" s="255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41" t="s">
        <v>2</v>
      </c>
      <c r="T1" s="242"/>
      <c r="U1" s="242"/>
      <c r="V1" s="242"/>
      <c r="W1" s="243"/>
      <c r="X1" s="244">
        <v>45876</v>
      </c>
      <c r="Y1" s="245"/>
      <c r="Z1" s="245"/>
      <c r="AA1" s="245"/>
      <c r="AB1" s="245"/>
      <c r="AC1" s="245"/>
      <c r="AD1" s="245"/>
      <c r="AE1" s="245"/>
      <c r="AF1" s="246" t="s">
        <v>3</v>
      </c>
      <c r="AG1" s="247"/>
      <c r="AH1" s="245">
        <v>46037</v>
      </c>
      <c r="AI1" s="245"/>
      <c r="AJ1" s="245"/>
      <c r="AK1" s="245"/>
      <c r="AL1" s="245"/>
      <c r="AM1" s="245"/>
      <c r="AN1" s="245"/>
      <c r="AO1" s="260"/>
      <c r="AP1" s="241" t="s">
        <v>4</v>
      </c>
      <c r="AQ1" s="242"/>
      <c r="AR1" s="242"/>
      <c r="AS1" s="242"/>
      <c r="AT1" s="243"/>
      <c r="AU1" s="251">
        <f ca="1">TODAY()</f>
        <v>45888</v>
      </c>
      <c r="AV1" s="252"/>
      <c r="AW1" s="252"/>
      <c r="AX1" s="252"/>
      <c r="AY1" s="252"/>
      <c r="AZ1" s="252"/>
      <c r="BA1" s="252"/>
      <c r="BB1" s="252"/>
      <c r="BC1" s="252"/>
      <c r="BD1" s="252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45876</v>
      </c>
      <c r="T2" s="11">
        <f t="shared" ref="T2:CE2" si="0">S2+1</f>
        <v>45877</v>
      </c>
      <c r="U2" s="11">
        <f t="shared" si="0"/>
        <v>45878</v>
      </c>
      <c r="V2" s="11">
        <f t="shared" si="0"/>
        <v>45879</v>
      </c>
      <c r="W2" s="11">
        <f t="shared" si="0"/>
        <v>45880</v>
      </c>
      <c r="X2" s="11">
        <f t="shared" si="0"/>
        <v>45881</v>
      </c>
      <c r="Y2" s="11">
        <f t="shared" si="0"/>
        <v>45882</v>
      </c>
      <c r="Z2" s="11">
        <f t="shared" si="0"/>
        <v>45883</v>
      </c>
      <c r="AA2" s="11">
        <f t="shared" si="0"/>
        <v>45884</v>
      </c>
      <c r="AB2" s="11">
        <f t="shared" si="0"/>
        <v>45885</v>
      </c>
      <c r="AC2" s="11">
        <f t="shared" si="0"/>
        <v>45886</v>
      </c>
      <c r="AD2" s="11">
        <f t="shared" si="0"/>
        <v>45887</v>
      </c>
      <c r="AE2" s="11">
        <f t="shared" si="0"/>
        <v>45888</v>
      </c>
      <c r="AF2" s="11">
        <f t="shared" si="0"/>
        <v>45889</v>
      </c>
      <c r="AG2" s="11">
        <f t="shared" si="0"/>
        <v>45890</v>
      </c>
      <c r="AH2" s="11">
        <f t="shared" si="0"/>
        <v>45891</v>
      </c>
      <c r="AI2" s="11">
        <f t="shared" si="0"/>
        <v>45892</v>
      </c>
      <c r="AJ2" s="11">
        <f t="shared" si="0"/>
        <v>45893</v>
      </c>
      <c r="AK2" s="11">
        <f t="shared" si="0"/>
        <v>45894</v>
      </c>
      <c r="AL2" s="11">
        <f t="shared" si="0"/>
        <v>45895</v>
      </c>
      <c r="AM2" s="11">
        <f t="shared" si="0"/>
        <v>45896</v>
      </c>
      <c r="AN2" s="11">
        <f t="shared" si="0"/>
        <v>45897</v>
      </c>
      <c r="AO2" s="11">
        <f t="shared" si="0"/>
        <v>45898</v>
      </c>
      <c r="AP2" s="11">
        <f t="shared" si="0"/>
        <v>45899</v>
      </c>
      <c r="AQ2" s="11">
        <f t="shared" si="0"/>
        <v>45900</v>
      </c>
      <c r="AR2" s="11">
        <f t="shared" si="0"/>
        <v>45901</v>
      </c>
      <c r="AS2" s="11">
        <f t="shared" si="0"/>
        <v>45902</v>
      </c>
      <c r="AT2" s="11">
        <f t="shared" si="0"/>
        <v>45903</v>
      </c>
      <c r="AU2" s="11">
        <f t="shared" si="0"/>
        <v>45904</v>
      </c>
      <c r="AV2" s="11">
        <f t="shared" si="0"/>
        <v>45905</v>
      </c>
      <c r="AW2" s="11">
        <f t="shared" si="0"/>
        <v>45906</v>
      </c>
      <c r="AX2" s="11">
        <f t="shared" si="0"/>
        <v>45907</v>
      </c>
      <c r="AY2" s="11">
        <f t="shared" si="0"/>
        <v>45908</v>
      </c>
      <c r="AZ2" s="11">
        <f t="shared" si="0"/>
        <v>45909</v>
      </c>
      <c r="BA2" s="11">
        <f t="shared" si="0"/>
        <v>45910</v>
      </c>
      <c r="BB2" s="11">
        <f t="shared" si="0"/>
        <v>45911</v>
      </c>
      <c r="BC2" s="11">
        <f t="shared" si="0"/>
        <v>45912</v>
      </c>
      <c r="BD2" s="11">
        <f t="shared" si="0"/>
        <v>45913</v>
      </c>
      <c r="BE2" s="11">
        <f t="shared" si="0"/>
        <v>45914</v>
      </c>
      <c r="BF2" s="11">
        <f t="shared" si="0"/>
        <v>45915</v>
      </c>
      <c r="BG2" s="11">
        <f t="shared" si="0"/>
        <v>45916</v>
      </c>
      <c r="BH2" s="11">
        <f t="shared" si="0"/>
        <v>45917</v>
      </c>
      <c r="BI2" s="11">
        <f t="shared" si="0"/>
        <v>45918</v>
      </c>
      <c r="BJ2" s="11">
        <f t="shared" si="0"/>
        <v>45919</v>
      </c>
      <c r="BK2" s="11">
        <f t="shared" si="0"/>
        <v>45920</v>
      </c>
      <c r="BL2" s="11">
        <f t="shared" si="0"/>
        <v>45921</v>
      </c>
      <c r="BM2" s="11">
        <f t="shared" si="0"/>
        <v>45922</v>
      </c>
      <c r="BN2" s="11">
        <f t="shared" si="0"/>
        <v>45923</v>
      </c>
      <c r="BO2" s="11">
        <f t="shared" si="0"/>
        <v>45924</v>
      </c>
      <c r="BP2" s="11">
        <f t="shared" si="0"/>
        <v>45925</v>
      </c>
      <c r="BQ2" s="11">
        <f t="shared" si="0"/>
        <v>45926</v>
      </c>
      <c r="BR2" s="11">
        <f t="shared" si="0"/>
        <v>45927</v>
      </c>
      <c r="BS2" s="11">
        <f t="shared" si="0"/>
        <v>45928</v>
      </c>
      <c r="BT2" s="11">
        <f t="shared" si="0"/>
        <v>45929</v>
      </c>
      <c r="BU2" s="11">
        <f t="shared" si="0"/>
        <v>45930</v>
      </c>
      <c r="BV2" s="11">
        <f t="shared" si="0"/>
        <v>45931</v>
      </c>
      <c r="BW2" s="11">
        <f t="shared" si="0"/>
        <v>45932</v>
      </c>
      <c r="BX2" s="11">
        <f t="shared" si="0"/>
        <v>45933</v>
      </c>
      <c r="BY2" s="11">
        <f t="shared" si="0"/>
        <v>45934</v>
      </c>
      <c r="BZ2" s="11">
        <f t="shared" si="0"/>
        <v>45935</v>
      </c>
      <c r="CA2" s="11">
        <f t="shared" si="0"/>
        <v>45936</v>
      </c>
      <c r="CB2" s="11">
        <f t="shared" si="0"/>
        <v>45937</v>
      </c>
      <c r="CC2" s="11">
        <f t="shared" si="0"/>
        <v>45938</v>
      </c>
      <c r="CD2" s="11">
        <f t="shared" si="0"/>
        <v>45939</v>
      </c>
      <c r="CE2" s="11">
        <f t="shared" si="0"/>
        <v>45940</v>
      </c>
      <c r="CF2" s="11">
        <f t="shared" ref="CF2:DF2" si="1">CE2+1</f>
        <v>45941</v>
      </c>
      <c r="CG2" s="11">
        <f t="shared" si="1"/>
        <v>45942</v>
      </c>
      <c r="CH2" s="11">
        <f t="shared" si="1"/>
        <v>45943</v>
      </c>
      <c r="CI2" s="11">
        <f t="shared" si="1"/>
        <v>45944</v>
      </c>
      <c r="CJ2" s="11">
        <f t="shared" si="1"/>
        <v>45945</v>
      </c>
      <c r="CK2" s="11">
        <f t="shared" si="1"/>
        <v>45946</v>
      </c>
      <c r="CL2" s="11">
        <f t="shared" si="1"/>
        <v>45947</v>
      </c>
      <c r="CM2" s="11">
        <f t="shared" si="1"/>
        <v>45948</v>
      </c>
      <c r="CN2" s="11">
        <f t="shared" si="1"/>
        <v>45949</v>
      </c>
      <c r="CO2" s="11">
        <f t="shared" si="1"/>
        <v>45950</v>
      </c>
      <c r="CP2" s="11">
        <f t="shared" si="1"/>
        <v>45951</v>
      </c>
      <c r="CQ2" s="11">
        <f t="shared" si="1"/>
        <v>45952</v>
      </c>
      <c r="CR2" s="11">
        <f t="shared" si="1"/>
        <v>45953</v>
      </c>
      <c r="CS2" s="11">
        <f t="shared" si="1"/>
        <v>45954</v>
      </c>
      <c r="CT2" s="11">
        <f t="shared" si="1"/>
        <v>45955</v>
      </c>
      <c r="CU2" s="11">
        <f t="shared" si="1"/>
        <v>45956</v>
      </c>
      <c r="CV2" s="11">
        <f t="shared" si="1"/>
        <v>45957</v>
      </c>
      <c r="CW2" s="11">
        <f t="shared" si="1"/>
        <v>45958</v>
      </c>
      <c r="CX2" s="11">
        <f t="shared" si="1"/>
        <v>45959</v>
      </c>
      <c r="CY2" s="11">
        <f t="shared" si="1"/>
        <v>45960</v>
      </c>
      <c r="CZ2" s="11">
        <f t="shared" si="1"/>
        <v>45961</v>
      </c>
      <c r="DA2" s="11">
        <f t="shared" si="1"/>
        <v>45962</v>
      </c>
      <c r="DB2" s="11">
        <f t="shared" si="1"/>
        <v>45963</v>
      </c>
      <c r="DC2" s="11">
        <f t="shared" si="1"/>
        <v>45964</v>
      </c>
      <c r="DD2" s="11">
        <f t="shared" si="1"/>
        <v>45965</v>
      </c>
      <c r="DE2" s="11">
        <f t="shared" si="1"/>
        <v>45966</v>
      </c>
      <c r="DF2" s="11">
        <f t="shared" si="1"/>
        <v>45967</v>
      </c>
      <c r="DG2" s="11">
        <f t="shared" ref="DG2:EL2" si="2">DF2+1</f>
        <v>45968</v>
      </c>
      <c r="DH2" s="11">
        <f t="shared" si="2"/>
        <v>45969</v>
      </c>
      <c r="DI2" s="11">
        <f t="shared" si="2"/>
        <v>45970</v>
      </c>
      <c r="DJ2" s="11">
        <f t="shared" si="2"/>
        <v>45971</v>
      </c>
      <c r="DK2" s="11">
        <f t="shared" si="2"/>
        <v>45972</v>
      </c>
      <c r="DL2" s="11">
        <f t="shared" si="2"/>
        <v>45973</v>
      </c>
      <c r="DM2" s="11">
        <f t="shared" si="2"/>
        <v>45974</v>
      </c>
      <c r="DN2" s="11">
        <f t="shared" si="2"/>
        <v>45975</v>
      </c>
      <c r="DO2" s="11">
        <f t="shared" si="2"/>
        <v>45976</v>
      </c>
      <c r="DP2" s="11">
        <f t="shared" si="2"/>
        <v>45977</v>
      </c>
      <c r="DQ2" s="11">
        <f t="shared" si="2"/>
        <v>45978</v>
      </c>
      <c r="DR2" s="11">
        <f t="shared" si="2"/>
        <v>45979</v>
      </c>
      <c r="DS2" s="11">
        <f t="shared" si="2"/>
        <v>45980</v>
      </c>
      <c r="DT2" s="11">
        <f t="shared" si="2"/>
        <v>45981</v>
      </c>
      <c r="DU2" s="11">
        <f t="shared" si="2"/>
        <v>45982</v>
      </c>
      <c r="DV2" s="11">
        <f t="shared" si="2"/>
        <v>45983</v>
      </c>
      <c r="DW2" s="11">
        <f t="shared" si="2"/>
        <v>45984</v>
      </c>
      <c r="DX2" s="11">
        <f t="shared" si="2"/>
        <v>45985</v>
      </c>
      <c r="DY2" s="11">
        <f t="shared" si="2"/>
        <v>45986</v>
      </c>
      <c r="DZ2" s="11">
        <f t="shared" si="2"/>
        <v>45987</v>
      </c>
      <c r="EA2" s="11">
        <f t="shared" si="2"/>
        <v>45988</v>
      </c>
      <c r="EB2" s="11">
        <f t="shared" si="2"/>
        <v>45989</v>
      </c>
      <c r="EC2" s="11">
        <f t="shared" si="2"/>
        <v>45990</v>
      </c>
      <c r="ED2" s="11">
        <f t="shared" si="2"/>
        <v>45991</v>
      </c>
      <c r="EE2" s="11">
        <f t="shared" si="2"/>
        <v>45992</v>
      </c>
      <c r="EF2" s="11">
        <f t="shared" si="2"/>
        <v>45993</v>
      </c>
      <c r="EG2" s="11">
        <f t="shared" si="2"/>
        <v>45994</v>
      </c>
      <c r="EH2" s="11">
        <f t="shared" si="2"/>
        <v>45995</v>
      </c>
      <c r="EI2" s="11">
        <f t="shared" si="2"/>
        <v>45996</v>
      </c>
      <c r="EJ2" s="11">
        <f t="shared" si="2"/>
        <v>45997</v>
      </c>
      <c r="EK2" s="11">
        <f t="shared" si="2"/>
        <v>45998</v>
      </c>
      <c r="EL2" s="11">
        <f t="shared" si="2"/>
        <v>45999</v>
      </c>
      <c r="EM2" s="11">
        <f t="shared" ref="EM2:FR2" si="3">EL2+1</f>
        <v>46000</v>
      </c>
      <c r="EN2" s="11">
        <f t="shared" si="3"/>
        <v>46001</v>
      </c>
      <c r="EO2" s="11">
        <f t="shared" si="3"/>
        <v>46002</v>
      </c>
      <c r="EP2" s="11">
        <f t="shared" si="3"/>
        <v>46003</v>
      </c>
      <c r="EQ2" s="11">
        <f t="shared" si="3"/>
        <v>46004</v>
      </c>
      <c r="ER2" s="11">
        <f t="shared" si="3"/>
        <v>46005</v>
      </c>
      <c r="ES2" s="11">
        <f t="shared" si="3"/>
        <v>46006</v>
      </c>
      <c r="ET2" s="11">
        <f t="shared" si="3"/>
        <v>46007</v>
      </c>
      <c r="EU2" s="11">
        <f t="shared" si="3"/>
        <v>46008</v>
      </c>
      <c r="EV2" s="11">
        <f t="shared" si="3"/>
        <v>46009</v>
      </c>
      <c r="EW2" s="11">
        <f t="shared" si="3"/>
        <v>46010</v>
      </c>
      <c r="EX2" s="11">
        <f t="shared" si="3"/>
        <v>46011</v>
      </c>
      <c r="EY2" s="11">
        <f t="shared" si="3"/>
        <v>46012</v>
      </c>
      <c r="EZ2" s="11">
        <f t="shared" si="3"/>
        <v>46013</v>
      </c>
      <c r="FA2" s="11">
        <f t="shared" si="3"/>
        <v>46014</v>
      </c>
      <c r="FB2" s="11">
        <f t="shared" si="3"/>
        <v>46015</v>
      </c>
      <c r="FC2" s="11">
        <f t="shared" si="3"/>
        <v>46016</v>
      </c>
      <c r="FD2" s="11">
        <f t="shared" si="3"/>
        <v>46017</v>
      </c>
      <c r="FE2" s="11">
        <f t="shared" si="3"/>
        <v>46018</v>
      </c>
      <c r="FF2" s="11">
        <f t="shared" si="3"/>
        <v>46019</v>
      </c>
      <c r="FG2" s="11">
        <f t="shared" si="3"/>
        <v>46020</v>
      </c>
      <c r="FH2" s="11">
        <f t="shared" si="3"/>
        <v>46021</v>
      </c>
      <c r="FI2" s="11">
        <f t="shared" si="3"/>
        <v>46022</v>
      </c>
      <c r="FJ2" s="11">
        <f t="shared" si="3"/>
        <v>46023</v>
      </c>
      <c r="FK2" s="11">
        <f t="shared" si="3"/>
        <v>46024</v>
      </c>
      <c r="FL2" s="11">
        <f t="shared" si="3"/>
        <v>46025</v>
      </c>
      <c r="FM2" s="11">
        <f t="shared" si="3"/>
        <v>46026</v>
      </c>
      <c r="FN2" s="11">
        <f t="shared" si="3"/>
        <v>46027</v>
      </c>
      <c r="FO2" s="11">
        <f t="shared" si="3"/>
        <v>46028</v>
      </c>
      <c r="FP2" s="11">
        <f t="shared" si="3"/>
        <v>46029</v>
      </c>
      <c r="FQ2" s="11">
        <f t="shared" si="3"/>
        <v>46030</v>
      </c>
      <c r="FR2" s="11">
        <f t="shared" si="3"/>
        <v>46031</v>
      </c>
      <c r="FS2" s="11">
        <f t="shared" ref="FS2:GX2" si="4">FR2+1</f>
        <v>46032</v>
      </c>
      <c r="FT2" s="11">
        <f t="shared" si="4"/>
        <v>46033</v>
      </c>
      <c r="FU2" s="11">
        <f t="shared" si="4"/>
        <v>46034</v>
      </c>
      <c r="FV2" s="11">
        <f t="shared" si="4"/>
        <v>46035</v>
      </c>
      <c r="FW2" s="11">
        <f t="shared" si="4"/>
        <v>46036</v>
      </c>
      <c r="FX2" s="11">
        <f t="shared" si="4"/>
        <v>46037</v>
      </c>
      <c r="FY2" s="11">
        <f t="shared" si="4"/>
        <v>46038</v>
      </c>
      <c r="FZ2" s="11">
        <f t="shared" si="4"/>
        <v>46039</v>
      </c>
      <c r="GA2" s="11">
        <f t="shared" si="4"/>
        <v>46040</v>
      </c>
      <c r="GB2" s="11">
        <f t="shared" si="4"/>
        <v>46041</v>
      </c>
      <c r="GC2" s="11">
        <f t="shared" si="4"/>
        <v>46042</v>
      </c>
      <c r="GD2" s="11">
        <f t="shared" si="4"/>
        <v>46043</v>
      </c>
      <c r="GE2" s="11">
        <f t="shared" si="4"/>
        <v>46044</v>
      </c>
      <c r="GF2" s="11">
        <f t="shared" si="4"/>
        <v>46045</v>
      </c>
      <c r="GG2" s="11">
        <f t="shared" si="4"/>
        <v>46046</v>
      </c>
      <c r="GH2" s="11">
        <f t="shared" si="4"/>
        <v>46047</v>
      </c>
      <c r="GI2" s="11">
        <f t="shared" si="4"/>
        <v>46048</v>
      </c>
      <c r="GJ2" s="11">
        <f t="shared" si="4"/>
        <v>46049</v>
      </c>
      <c r="GK2" s="11">
        <f t="shared" si="4"/>
        <v>46050</v>
      </c>
      <c r="GL2" s="11">
        <f t="shared" si="4"/>
        <v>46051</v>
      </c>
      <c r="GM2" s="11">
        <f t="shared" si="4"/>
        <v>46052</v>
      </c>
      <c r="GN2" s="11">
        <f t="shared" si="4"/>
        <v>46053</v>
      </c>
      <c r="GO2" s="11">
        <f t="shared" si="4"/>
        <v>46054</v>
      </c>
      <c r="GP2" s="11">
        <f t="shared" si="4"/>
        <v>46055</v>
      </c>
      <c r="GQ2" s="11">
        <f t="shared" si="4"/>
        <v>46056</v>
      </c>
      <c r="GR2" s="11">
        <f t="shared" si="4"/>
        <v>46057</v>
      </c>
      <c r="GS2" s="11">
        <f t="shared" si="4"/>
        <v>46058</v>
      </c>
      <c r="GT2" s="11">
        <f t="shared" si="4"/>
        <v>46059</v>
      </c>
      <c r="GU2" s="11">
        <f t="shared" si="4"/>
        <v>46060</v>
      </c>
      <c r="GV2" s="11">
        <f t="shared" si="4"/>
        <v>46061</v>
      </c>
      <c r="GW2" s="11">
        <f t="shared" si="4"/>
        <v>46062</v>
      </c>
      <c r="GX2" s="11">
        <f t="shared" si="4"/>
        <v>46063</v>
      </c>
      <c r="GY2" s="11">
        <f t="shared" ref="GY2:HV2" si="5">GX2+1</f>
        <v>46064</v>
      </c>
      <c r="GZ2" s="11">
        <f t="shared" si="5"/>
        <v>46065</v>
      </c>
      <c r="HA2" s="11">
        <f t="shared" si="5"/>
        <v>46066</v>
      </c>
      <c r="HB2" s="11">
        <f t="shared" si="5"/>
        <v>46067</v>
      </c>
      <c r="HC2" s="11">
        <f t="shared" si="5"/>
        <v>46068</v>
      </c>
      <c r="HD2" s="11">
        <f t="shared" si="5"/>
        <v>46069</v>
      </c>
      <c r="HE2" s="11">
        <f t="shared" si="5"/>
        <v>46070</v>
      </c>
      <c r="HF2" s="11">
        <f t="shared" si="5"/>
        <v>46071</v>
      </c>
      <c r="HG2" s="11">
        <f t="shared" si="5"/>
        <v>46072</v>
      </c>
      <c r="HH2" s="11">
        <f t="shared" si="5"/>
        <v>46073</v>
      </c>
      <c r="HI2" s="11">
        <f t="shared" si="5"/>
        <v>46074</v>
      </c>
      <c r="HJ2" s="11">
        <f t="shared" si="5"/>
        <v>46075</v>
      </c>
      <c r="HK2" s="11">
        <f t="shared" si="5"/>
        <v>46076</v>
      </c>
      <c r="HL2" s="11">
        <f t="shared" si="5"/>
        <v>46077</v>
      </c>
      <c r="HM2" s="11">
        <f t="shared" si="5"/>
        <v>46078</v>
      </c>
      <c r="HN2" s="11">
        <f t="shared" si="5"/>
        <v>46079</v>
      </c>
      <c r="HO2" s="11">
        <f t="shared" si="5"/>
        <v>46080</v>
      </c>
      <c r="HP2" s="11">
        <f t="shared" si="5"/>
        <v>46081</v>
      </c>
      <c r="HQ2" s="11">
        <f t="shared" si="5"/>
        <v>46082</v>
      </c>
      <c r="HR2" s="11">
        <f t="shared" si="5"/>
        <v>46083</v>
      </c>
      <c r="HS2" s="11">
        <f t="shared" si="5"/>
        <v>46084</v>
      </c>
      <c r="HT2" s="11">
        <f t="shared" si="5"/>
        <v>46085</v>
      </c>
      <c r="HU2" s="11">
        <f t="shared" si="5"/>
        <v>46086</v>
      </c>
      <c r="HV2" s="11">
        <f t="shared" si="5"/>
        <v>46087</v>
      </c>
    </row>
    <row r="3" spans="1:242" s="19" customFormat="1" ht="27.75" customHeight="1" thickTop="1" thickBot="1" x14ac:dyDescent="0.25">
      <c r="A3" s="13"/>
      <c r="B3" s="264"/>
      <c r="C3" s="265"/>
      <c r="D3" s="265"/>
      <c r="E3" s="265"/>
      <c r="F3" s="265"/>
      <c r="G3" s="100"/>
      <c r="H3" s="33"/>
      <c r="I3" s="34"/>
      <c r="J3" s="210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6" t="s">
        <v>17</v>
      </c>
      <c r="C4" s="131" t="s">
        <v>12</v>
      </c>
      <c r="D4" s="268" t="s">
        <v>13</v>
      </c>
      <c r="E4" s="268"/>
      <c r="F4" s="268" t="s">
        <v>16</v>
      </c>
      <c r="G4" s="268"/>
      <c r="H4" s="269" t="s">
        <v>18</v>
      </c>
      <c r="I4" s="270"/>
      <c r="J4" s="261" t="s">
        <v>22</v>
      </c>
      <c r="K4" s="262"/>
      <c r="L4" s="20"/>
      <c r="M4" s="256" t="s">
        <v>1</v>
      </c>
      <c r="N4" s="257"/>
      <c r="O4" s="258" t="s">
        <v>6</v>
      </c>
      <c r="P4" s="256" t="s">
        <v>0</v>
      </c>
      <c r="Q4" s="263"/>
      <c r="R4" s="21" t="s">
        <v>7</v>
      </c>
      <c r="S4" s="22">
        <f>S2</f>
        <v>45876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>
        <f t="shared" si="6"/>
        <v>45901</v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 t="str">
        <f t="shared" si="6"/>
        <v/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>
        <f t="shared" si="6"/>
        <v>45931</v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>
        <f t="shared" si="7"/>
        <v>45962</v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 t="str">
        <f t="shared" ref="DG4:EL4" si="8">IF(MONTH(DF2) = MONTH(DG2),"",IF($AH$1-DG$2&gt;=0,DG$2,""))</f>
        <v/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>
        <f t="shared" si="8"/>
        <v>45992</v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>
        <f t="shared" si="9"/>
        <v>46023</v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 t="str">
        <f t="shared" si="9"/>
        <v/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189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67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59"/>
      <c r="P5" s="25" t="s">
        <v>8</v>
      </c>
      <c r="Q5" s="26" t="s">
        <v>9</v>
      </c>
      <c r="R5" s="27"/>
      <c r="S5" s="28">
        <f t="shared" ref="S5:AH6" si="12">IF($AH$1-S$2&gt;=0,S$2,"")</f>
        <v>45876</v>
      </c>
      <c r="T5" s="29">
        <f t="shared" si="12"/>
        <v>45877</v>
      </c>
      <c r="U5" s="29">
        <f t="shared" si="12"/>
        <v>45878</v>
      </c>
      <c r="V5" s="29">
        <f t="shared" si="12"/>
        <v>45879</v>
      </c>
      <c r="W5" s="29">
        <f t="shared" si="12"/>
        <v>45880</v>
      </c>
      <c r="X5" s="29">
        <f t="shared" si="12"/>
        <v>45881</v>
      </c>
      <c r="Y5" s="29">
        <f t="shared" si="12"/>
        <v>45882</v>
      </c>
      <c r="Z5" s="29">
        <f t="shared" si="12"/>
        <v>45883</v>
      </c>
      <c r="AA5" s="29">
        <f t="shared" si="12"/>
        <v>45884</v>
      </c>
      <c r="AB5" s="29">
        <f t="shared" si="12"/>
        <v>45885</v>
      </c>
      <c r="AC5" s="29">
        <f t="shared" si="12"/>
        <v>45886</v>
      </c>
      <c r="AD5" s="29">
        <f t="shared" si="12"/>
        <v>45887</v>
      </c>
      <c r="AE5" s="29">
        <f t="shared" si="12"/>
        <v>45888</v>
      </c>
      <c r="AF5" s="29">
        <f t="shared" si="12"/>
        <v>45889</v>
      </c>
      <c r="AG5" s="29">
        <f t="shared" si="12"/>
        <v>45890</v>
      </c>
      <c r="AH5" s="29">
        <f t="shared" si="12"/>
        <v>45891</v>
      </c>
      <c r="AI5" s="29">
        <f t="shared" ref="AI5:CT6" si="13">IF($AH$1-AI$2&gt;=0,AI$2,"")</f>
        <v>45892</v>
      </c>
      <c r="AJ5" s="29">
        <f t="shared" si="13"/>
        <v>45893</v>
      </c>
      <c r="AK5" s="30">
        <f t="shared" si="13"/>
        <v>45894</v>
      </c>
      <c r="AL5" s="175">
        <f t="shared" si="13"/>
        <v>45895</v>
      </c>
      <c r="AM5" s="29">
        <f t="shared" si="13"/>
        <v>45896</v>
      </c>
      <c r="AN5" s="29">
        <f t="shared" si="13"/>
        <v>45897</v>
      </c>
      <c r="AO5" s="29">
        <f t="shared" si="13"/>
        <v>45898</v>
      </c>
      <c r="AP5" s="29">
        <f t="shared" si="13"/>
        <v>45899</v>
      </c>
      <c r="AQ5" s="29">
        <f t="shared" si="13"/>
        <v>45900</v>
      </c>
      <c r="AR5" s="29">
        <f t="shared" si="13"/>
        <v>45901</v>
      </c>
      <c r="AS5" s="29">
        <f t="shared" si="13"/>
        <v>45902</v>
      </c>
      <c r="AT5" s="29">
        <f t="shared" si="13"/>
        <v>45903</v>
      </c>
      <c r="AU5" s="29">
        <f t="shared" si="13"/>
        <v>45904</v>
      </c>
      <c r="AV5" s="29">
        <f t="shared" si="13"/>
        <v>45905</v>
      </c>
      <c r="AW5" s="30">
        <f t="shared" si="13"/>
        <v>45906</v>
      </c>
      <c r="AX5" s="31">
        <f t="shared" si="13"/>
        <v>45907</v>
      </c>
      <c r="AY5" s="29">
        <f t="shared" si="13"/>
        <v>45908</v>
      </c>
      <c r="AZ5" s="29">
        <f t="shared" si="13"/>
        <v>45909</v>
      </c>
      <c r="BA5" s="29">
        <f t="shared" si="13"/>
        <v>45910</v>
      </c>
      <c r="BB5" s="29">
        <f t="shared" si="13"/>
        <v>45911</v>
      </c>
      <c r="BC5" s="29">
        <f t="shared" si="13"/>
        <v>45912</v>
      </c>
      <c r="BD5" s="29">
        <f t="shared" si="13"/>
        <v>45913</v>
      </c>
      <c r="BE5" s="29">
        <f t="shared" si="13"/>
        <v>45914</v>
      </c>
      <c r="BF5" s="29">
        <f t="shared" si="13"/>
        <v>45915</v>
      </c>
      <c r="BG5" s="29">
        <f t="shared" si="13"/>
        <v>45916</v>
      </c>
      <c r="BH5" s="29">
        <f t="shared" si="13"/>
        <v>45917</v>
      </c>
      <c r="BI5" s="29">
        <f t="shared" si="13"/>
        <v>45918</v>
      </c>
      <c r="BJ5" s="29">
        <f t="shared" si="13"/>
        <v>45919</v>
      </c>
      <c r="BK5" s="29">
        <f t="shared" si="13"/>
        <v>45920</v>
      </c>
      <c r="BL5" s="222">
        <f t="shared" si="13"/>
        <v>45921</v>
      </c>
      <c r="BM5" s="29">
        <f t="shared" si="13"/>
        <v>45922</v>
      </c>
      <c r="BN5" s="29">
        <f t="shared" si="13"/>
        <v>45923</v>
      </c>
      <c r="BO5" s="30">
        <f t="shared" si="13"/>
        <v>45924</v>
      </c>
      <c r="BP5" s="175">
        <f t="shared" si="13"/>
        <v>45925</v>
      </c>
      <c r="BQ5" s="29">
        <f t="shared" si="13"/>
        <v>45926</v>
      </c>
      <c r="BR5" s="29">
        <f t="shared" si="13"/>
        <v>45927</v>
      </c>
      <c r="BS5" s="29">
        <f t="shared" si="13"/>
        <v>45928</v>
      </c>
      <c r="BT5" s="222">
        <f t="shared" si="13"/>
        <v>45929</v>
      </c>
      <c r="BU5" s="29">
        <f t="shared" si="13"/>
        <v>45930</v>
      </c>
      <c r="BV5" s="29">
        <f t="shared" si="13"/>
        <v>45931</v>
      </c>
      <c r="BW5" s="29">
        <f t="shared" si="13"/>
        <v>45932</v>
      </c>
      <c r="BX5" s="29">
        <f t="shared" si="13"/>
        <v>45933</v>
      </c>
      <c r="BY5" s="29">
        <f t="shared" si="13"/>
        <v>45934</v>
      </c>
      <c r="BZ5" s="29">
        <f t="shared" si="13"/>
        <v>45935</v>
      </c>
      <c r="CA5" s="30">
        <f t="shared" si="13"/>
        <v>45936</v>
      </c>
      <c r="CB5" s="31">
        <f t="shared" si="13"/>
        <v>45937</v>
      </c>
      <c r="CC5" s="29">
        <f t="shared" si="13"/>
        <v>45938</v>
      </c>
      <c r="CD5" s="29">
        <f t="shared" si="13"/>
        <v>45939</v>
      </c>
      <c r="CE5" s="29">
        <f t="shared" si="13"/>
        <v>45940</v>
      </c>
      <c r="CF5" s="29">
        <f t="shared" si="13"/>
        <v>45941</v>
      </c>
      <c r="CG5" s="29">
        <f t="shared" si="13"/>
        <v>45942</v>
      </c>
      <c r="CH5" s="29">
        <f t="shared" si="13"/>
        <v>45943</v>
      </c>
      <c r="CI5" s="29">
        <f t="shared" si="13"/>
        <v>45944</v>
      </c>
      <c r="CJ5" s="29">
        <f t="shared" si="13"/>
        <v>45945</v>
      </c>
      <c r="CK5" s="29">
        <f t="shared" si="13"/>
        <v>45946</v>
      </c>
      <c r="CL5" s="29">
        <f t="shared" si="13"/>
        <v>45947</v>
      </c>
      <c r="CM5" s="29">
        <f t="shared" si="13"/>
        <v>45948</v>
      </c>
      <c r="CN5" s="222">
        <f t="shared" si="13"/>
        <v>45949</v>
      </c>
      <c r="CO5" s="29">
        <f t="shared" si="13"/>
        <v>45950</v>
      </c>
      <c r="CP5" s="29">
        <f t="shared" si="13"/>
        <v>45951</v>
      </c>
      <c r="CQ5" s="29">
        <f t="shared" si="13"/>
        <v>45952</v>
      </c>
      <c r="CR5" s="29">
        <f t="shared" si="13"/>
        <v>45953</v>
      </c>
      <c r="CS5" s="29">
        <f t="shared" si="13"/>
        <v>45954</v>
      </c>
      <c r="CT5" s="30">
        <f t="shared" si="13"/>
        <v>45955</v>
      </c>
      <c r="CU5" s="175">
        <f t="shared" ref="CU5:EK6" si="14">IF($AH$1-CU$2&gt;=0,CU$2,"")</f>
        <v>45956</v>
      </c>
      <c r="CV5" s="29">
        <f t="shared" si="14"/>
        <v>45957</v>
      </c>
      <c r="CW5" s="29">
        <f t="shared" si="14"/>
        <v>45958</v>
      </c>
      <c r="CX5" s="29">
        <f t="shared" si="14"/>
        <v>45959</v>
      </c>
      <c r="CY5" s="29">
        <f t="shared" si="14"/>
        <v>45960</v>
      </c>
      <c r="CZ5" s="29">
        <f t="shared" si="14"/>
        <v>45961</v>
      </c>
      <c r="DA5" s="29">
        <f t="shared" si="14"/>
        <v>45962</v>
      </c>
      <c r="DB5" s="29">
        <f t="shared" si="14"/>
        <v>45963</v>
      </c>
      <c r="DC5" s="29">
        <f t="shared" si="14"/>
        <v>45964</v>
      </c>
      <c r="DD5" s="29">
        <f t="shared" si="14"/>
        <v>45965</v>
      </c>
      <c r="DE5" s="29">
        <f t="shared" si="14"/>
        <v>45966</v>
      </c>
      <c r="DF5" s="30">
        <f t="shared" si="14"/>
        <v>45967</v>
      </c>
      <c r="DG5" s="31">
        <f t="shared" si="14"/>
        <v>45968</v>
      </c>
      <c r="DH5" s="29">
        <f t="shared" si="14"/>
        <v>45969</v>
      </c>
      <c r="DI5" s="222">
        <f t="shared" si="14"/>
        <v>45970</v>
      </c>
      <c r="DJ5" s="29">
        <f t="shared" si="14"/>
        <v>45971</v>
      </c>
      <c r="DK5" s="29">
        <f t="shared" si="14"/>
        <v>45972</v>
      </c>
      <c r="DL5" s="29">
        <f t="shared" si="14"/>
        <v>45973</v>
      </c>
      <c r="DM5" s="29">
        <f t="shared" si="14"/>
        <v>45974</v>
      </c>
      <c r="DN5" s="29">
        <f t="shared" si="14"/>
        <v>45975</v>
      </c>
      <c r="DO5" s="29">
        <f t="shared" si="14"/>
        <v>45976</v>
      </c>
      <c r="DP5" s="29">
        <f t="shared" si="14"/>
        <v>45977</v>
      </c>
      <c r="DQ5" s="29">
        <f t="shared" si="14"/>
        <v>45978</v>
      </c>
      <c r="DR5" s="29">
        <f t="shared" si="14"/>
        <v>45979</v>
      </c>
      <c r="DS5" s="29">
        <f t="shared" si="14"/>
        <v>45980</v>
      </c>
      <c r="DT5" s="29">
        <f t="shared" si="14"/>
        <v>45981</v>
      </c>
      <c r="DU5" s="29">
        <f t="shared" si="14"/>
        <v>45982</v>
      </c>
      <c r="DV5" s="29">
        <f t="shared" si="14"/>
        <v>45983</v>
      </c>
      <c r="DW5" s="29">
        <f t="shared" si="14"/>
        <v>45984</v>
      </c>
      <c r="DX5" s="29">
        <f t="shared" si="14"/>
        <v>45985</v>
      </c>
      <c r="DY5" s="30">
        <f t="shared" si="14"/>
        <v>45986</v>
      </c>
      <c r="DZ5" s="175">
        <f t="shared" si="14"/>
        <v>45987</v>
      </c>
      <c r="EA5" s="29">
        <f t="shared" si="14"/>
        <v>45988</v>
      </c>
      <c r="EB5" s="29">
        <f t="shared" si="14"/>
        <v>45989</v>
      </c>
      <c r="EC5" s="29">
        <f t="shared" si="14"/>
        <v>45990</v>
      </c>
      <c r="ED5" s="222">
        <f t="shared" si="14"/>
        <v>45991</v>
      </c>
      <c r="EE5" s="29">
        <f t="shared" si="14"/>
        <v>45992</v>
      </c>
      <c r="EF5" s="29">
        <f t="shared" si="14"/>
        <v>45993</v>
      </c>
      <c r="EG5" s="29">
        <f t="shared" si="14"/>
        <v>45994</v>
      </c>
      <c r="EH5" s="29">
        <f t="shared" si="14"/>
        <v>45995</v>
      </c>
      <c r="EI5" s="29">
        <f t="shared" si="14"/>
        <v>45996</v>
      </c>
      <c r="EJ5" s="30">
        <f t="shared" si="14"/>
        <v>45997</v>
      </c>
      <c r="EK5" s="31">
        <f t="shared" si="14"/>
        <v>45998</v>
      </c>
      <c r="EL5" s="29">
        <f t="shared" ref="EL5:FP6" si="15">IF($AH$1-EL$2&gt;=0,EL$2,"")</f>
        <v>45999</v>
      </c>
      <c r="EM5" s="29">
        <f t="shared" si="15"/>
        <v>46000</v>
      </c>
      <c r="EN5" s="29">
        <f t="shared" si="15"/>
        <v>46001</v>
      </c>
      <c r="EO5" s="29">
        <f t="shared" si="15"/>
        <v>46002</v>
      </c>
      <c r="EP5" s="29">
        <f t="shared" si="15"/>
        <v>46003</v>
      </c>
      <c r="EQ5" s="29">
        <f t="shared" si="15"/>
        <v>46004</v>
      </c>
      <c r="ER5" s="29">
        <f t="shared" si="15"/>
        <v>46005</v>
      </c>
      <c r="ES5" s="29">
        <f t="shared" si="15"/>
        <v>46006</v>
      </c>
      <c r="ET5" s="29">
        <f t="shared" si="15"/>
        <v>46007</v>
      </c>
      <c r="EU5" s="29">
        <f t="shared" si="15"/>
        <v>46008</v>
      </c>
      <c r="EV5" s="29">
        <f t="shared" si="15"/>
        <v>46009</v>
      </c>
      <c r="EW5" s="29">
        <f t="shared" si="15"/>
        <v>46010</v>
      </c>
      <c r="EX5" s="29">
        <f t="shared" si="15"/>
        <v>46011</v>
      </c>
      <c r="EY5" s="29">
        <f t="shared" si="15"/>
        <v>46012</v>
      </c>
      <c r="EZ5" s="29">
        <f t="shared" si="15"/>
        <v>46013</v>
      </c>
      <c r="FA5" s="29">
        <f t="shared" si="15"/>
        <v>46014</v>
      </c>
      <c r="FB5" s="29">
        <f t="shared" si="15"/>
        <v>46015</v>
      </c>
      <c r="FC5" s="30">
        <f t="shared" si="15"/>
        <v>46016</v>
      </c>
      <c r="FD5" s="175">
        <f t="shared" si="15"/>
        <v>46017</v>
      </c>
      <c r="FE5" s="29">
        <f t="shared" si="15"/>
        <v>46018</v>
      </c>
      <c r="FF5" s="29">
        <f t="shared" si="15"/>
        <v>46019</v>
      </c>
      <c r="FG5" s="183">
        <f t="shared" si="15"/>
        <v>46020</v>
      </c>
      <c r="FH5" s="29">
        <f t="shared" si="15"/>
        <v>46021</v>
      </c>
      <c r="FI5" s="29">
        <f t="shared" si="15"/>
        <v>46022</v>
      </c>
      <c r="FJ5" s="230">
        <f t="shared" si="15"/>
        <v>46023</v>
      </c>
      <c r="FK5" s="230">
        <f t="shared" si="15"/>
        <v>46024</v>
      </c>
      <c r="FL5" s="29">
        <f t="shared" si="15"/>
        <v>46025</v>
      </c>
      <c r="FM5" s="29">
        <f t="shared" si="15"/>
        <v>46026</v>
      </c>
      <c r="FN5" s="29">
        <f t="shared" si="15"/>
        <v>46027</v>
      </c>
      <c r="FO5" s="30">
        <f>IF($AH$1-FO$2&gt;=0,FO$2,"")</f>
        <v>46028</v>
      </c>
      <c r="FP5" s="31">
        <f t="shared" si="15"/>
        <v>46029</v>
      </c>
      <c r="FQ5" s="29">
        <f t="shared" ref="FQ5:GT6" si="16">IF($AH$1-FQ$2&gt;=0,FQ$2,"")</f>
        <v>46030</v>
      </c>
      <c r="FR5" s="29">
        <f t="shared" si="16"/>
        <v>46031</v>
      </c>
      <c r="FS5" s="29">
        <f t="shared" si="16"/>
        <v>46032</v>
      </c>
      <c r="FT5" s="29">
        <f t="shared" si="16"/>
        <v>46033</v>
      </c>
      <c r="FU5" s="29">
        <f t="shared" si="16"/>
        <v>46034</v>
      </c>
      <c r="FV5" s="29">
        <f t="shared" si="16"/>
        <v>46035</v>
      </c>
      <c r="FW5" s="29">
        <f t="shared" si="16"/>
        <v>46036</v>
      </c>
      <c r="FX5" s="29">
        <f t="shared" si="16"/>
        <v>46037</v>
      </c>
      <c r="FY5" s="29" t="str">
        <f t="shared" si="16"/>
        <v/>
      </c>
      <c r="FZ5" s="29" t="str">
        <f t="shared" si="16"/>
        <v/>
      </c>
      <c r="GA5" s="29" t="str">
        <f t="shared" si="16"/>
        <v/>
      </c>
      <c r="GB5" s="183" t="str">
        <f t="shared" si="16"/>
        <v/>
      </c>
      <c r="GC5" s="29" t="str">
        <f t="shared" si="16"/>
        <v/>
      </c>
      <c r="GD5" s="29" t="str">
        <f t="shared" si="16"/>
        <v/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190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45876</v>
      </c>
      <c r="T6" s="104">
        <f t="shared" si="12"/>
        <v>45877</v>
      </c>
      <c r="U6" s="104">
        <f t="shared" si="12"/>
        <v>45878</v>
      </c>
      <c r="V6" s="104">
        <f t="shared" si="12"/>
        <v>45879</v>
      </c>
      <c r="W6" s="104">
        <f t="shared" si="12"/>
        <v>45880</v>
      </c>
      <c r="X6" s="104">
        <f t="shared" si="12"/>
        <v>45881</v>
      </c>
      <c r="Y6" s="104">
        <f t="shared" si="12"/>
        <v>45882</v>
      </c>
      <c r="Z6" s="104">
        <f t="shared" si="12"/>
        <v>45883</v>
      </c>
      <c r="AA6" s="104">
        <f t="shared" si="12"/>
        <v>45884</v>
      </c>
      <c r="AB6" s="104">
        <f t="shared" si="12"/>
        <v>45885</v>
      </c>
      <c r="AC6" s="104">
        <f t="shared" si="12"/>
        <v>45886</v>
      </c>
      <c r="AD6" s="104">
        <f t="shared" si="12"/>
        <v>45887</v>
      </c>
      <c r="AE6" s="104">
        <f t="shared" si="12"/>
        <v>45888</v>
      </c>
      <c r="AF6" s="104">
        <f t="shared" si="12"/>
        <v>45889</v>
      </c>
      <c r="AG6" s="104">
        <f t="shared" si="12"/>
        <v>45890</v>
      </c>
      <c r="AH6" s="104">
        <f t="shared" si="12"/>
        <v>45891</v>
      </c>
      <c r="AI6" s="104">
        <f t="shared" si="13"/>
        <v>45892</v>
      </c>
      <c r="AJ6" s="104">
        <f t="shared" si="13"/>
        <v>45893</v>
      </c>
      <c r="AK6" s="105">
        <f t="shared" si="13"/>
        <v>45894</v>
      </c>
      <c r="AL6" s="176">
        <f t="shared" si="13"/>
        <v>45895</v>
      </c>
      <c r="AM6" s="104">
        <f t="shared" si="13"/>
        <v>45896</v>
      </c>
      <c r="AN6" s="104">
        <f t="shared" si="13"/>
        <v>45897</v>
      </c>
      <c r="AO6" s="104">
        <f t="shared" si="13"/>
        <v>45898</v>
      </c>
      <c r="AP6" s="104">
        <f t="shared" si="13"/>
        <v>45899</v>
      </c>
      <c r="AQ6" s="104">
        <f t="shared" si="13"/>
        <v>45900</v>
      </c>
      <c r="AR6" s="104">
        <f t="shared" si="13"/>
        <v>45901</v>
      </c>
      <c r="AS6" s="104">
        <f t="shared" si="13"/>
        <v>45902</v>
      </c>
      <c r="AT6" s="104">
        <f t="shared" si="13"/>
        <v>45903</v>
      </c>
      <c r="AU6" s="104">
        <f t="shared" si="13"/>
        <v>45904</v>
      </c>
      <c r="AV6" s="104">
        <f t="shared" si="13"/>
        <v>45905</v>
      </c>
      <c r="AW6" s="105">
        <f t="shared" si="13"/>
        <v>45906</v>
      </c>
      <c r="AX6" s="106">
        <f t="shared" si="13"/>
        <v>45907</v>
      </c>
      <c r="AY6" s="104">
        <f t="shared" si="13"/>
        <v>45908</v>
      </c>
      <c r="AZ6" s="104">
        <f t="shared" si="13"/>
        <v>45909</v>
      </c>
      <c r="BA6" s="104">
        <f t="shared" si="13"/>
        <v>45910</v>
      </c>
      <c r="BB6" s="104">
        <f t="shared" si="13"/>
        <v>45911</v>
      </c>
      <c r="BC6" s="104">
        <f t="shared" si="13"/>
        <v>45912</v>
      </c>
      <c r="BD6" s="104">
        <f t="shared" si="13"/>
        <v>45913</v>
      </c>
      <c r="BE6" s="104">
        <f t="shared" si="13"/>
        <v>45914</v>
      </c>
      <c r="BF6" s="104">
        <f t="shared" si="13"/>
        <v>45915</v>
      </c>
      <c r="BG6" s="104">
        <f t="shared" si="13"/>
        <v>45916</v>
      </c>
      <c r="BH6" s="104">
        <f t="shared" si="13"/>
        <v>45917</v>
      </c>
      <c r="BI6" s="104">
        <f t="shared" si="13"/>
        <v>45918</v>
      </c>
      <c r="BJ6" s="104">
        <f t="shared" si="13"/>
        <v>45919</v>
      </c>
      <c r="BK6" s="104">
        <f t="shared" si="13"/>
        <v>45920</v>
      </c>
      <c r="BL6" s="223">
        <f t="shared" si="13"/>
        <v>45921</v>
      </c>
      <c r="BM6" s="104">
        <f t="shared" si="13"/>
        <v>45922</v>
      </c>
      <c r="BN6" s="104">
        <f t="shared" si="13"/>
        <v>45923</v>
      </c>
      <c r="BO6" s="105">
        <f t="shared" si="13"/>
        <v>45924</v>
      </c>
      <c r="BP6" s="176">
        <f t="shared" si="13"/>
        <v>45925</v>
      </c>
      <c r="BQ6" s="104">
        <f t="shared" si="13"/>
        <v>45926</v>
      </c>
      <c r="BR6" s="104">
        <f t="shared" si="13"/>
        <v>45927</v>
      </c>
      <c r="BS6" s="104">
        <f t="shared" si="13"/>
        <v>45928</v>
      </c>
      <c r="BT6" s="223">
        <f t="shared" si="13"/>
        <v>45929</v>
      </c>
      <c r="BU6" s="104">
        <f t="shared" si="13"/>
        <v>45930</v>
      </c>
      <c r="BV6" s="104">
        <f t="shared" si="13"/>
        <v>45931</v>
      </c>
      <c r="BW6" s="104">
        <f t="shared" si="13"/>
        <v>45932</v>
      </c>
      <c r="BX6" s="104">
        <f t="shared" si="13"/>
        <v>45933</v>
      </c>
      <c r="BY6" s="104">
        <f t="shared" si="13"/>
        <v>45934</v>
      </c>
      <c r="BZ6" s="104">
        <f t="shared" si="13"/>
        <v>45935</v>
      </c>
      <c r="CA6" s="105">
        <f t="shared" si="13"/>
        <v>45936</v>
      </c>
      <c r="CB6" s="106">
        <f t="shared" si="13"/>
        <v>45937</v>
      </c>
      <c r="CC6" s="104">
        <f t="shared" si="13"/>
        <v>45938</v>
      </c>
      <c r="CD6" s="104">
        <f t="shared" si="13"/>
        <v>45939</v>
      </c>
      <c r="CE6" s="104">
        <f t="shared" si="13"/>
        <v>45940</v>
      </c>
      <c r="CF6" s="104">
        <f t="shared" si="13"/>
        <v>45941</v>
      </c>
      <c r="CG6" s="104">
        <f t="shared" si="13"/>
        <v>45942</v>
      </c>
      <c r="CH6" s="104">
        <f t="shared" si="13"/>
        <v>45943</v>
      </c>
      <c r="CI6" s="104">
        <f t="shared" si="13"/>
        <v>45944</v>
      </c>
      <c r="CJ6" s="104">
        <f t="shared" si="13"/>
        <v>45945</v>
      </c>
      <c r="CK6" s="104">
        <f t="shared" si="13"/>
        <v>45946</v>
      </c>
      <c r="CL6" s="104">
        <f t="shared" si="13"/>
        <v>45947</v>
      </c>
      <c r="CM6" s="104">
        <f t="shared" si="13"/>
        <v>45948</v>
      </c>
      <c r="CN6" s="223">
        <f t="shared" si="13"/>
        <v>45949</v>
      </c>
      <c r="CO6" s="104">
        <f t="shared" si="13"/>
        <v>45950</v>
      </c>
      <c r="CP6" s="104">
        <f t="shared" si="13"/>
        <v>45951</v>
      </c>
      <c r="CQ6" s="104">
        <f t="shared" si="13"/>
        <v>45952</v>
      </c>
      <c r="CR6" s="104">
        <f t="shared" si="13"/>
        <v>45953</v>
      </c>
      <c r="CS6" s="104">
        <f t="shared" si="13"/>
        <v>45954</v>
      </c>
      <c r="CT6" s="105">
        <f t="shared" si="13"/>
        <v>45955</v>
      </c>
      <c r="CU6" s="176">
        <f t="shared" si="14"/>
        <v>45956</v>
      </c>
      <c r="CV6" s="104">
        <f t="shared" si="14"/>
        <v>45957</v>
      </c>
      <c r="CW6" s="104">
        <f t="shared" si="14"/>
        <v>45958</v>
      </c>
      <c r="CX6" s="104">
        <f t="shared" si="14"/>
        <v>45959</v>
      </c>
      <c r="CY6" s="104">
        <f t="shared" si="14"/>
        <v>45960</v>
      </c>
      <c r="CZ6" s="104">
        <f t="shared" si="14"/>
        <v>45961</v>
      </c>
      <c r="DA6" s="104">
        <f t="shared" si="14"/>
        <v>45962</v>
      </c>
      <c r="DB6" s="104">
        <f t="shared" si="14"/>
        <v>45963</v>
      </c>
      <c r="DC6" s="104">
        <f t="shared" si="14"/>
        <v>45964</v>
      </c>
      <c r="DD6" s="104">
        <f t="shared" si="14"/>
        <v>45965</v>
      </c>
      <c r="DE6" s="104">
        <f t="shared" si="14"/>
        <v>45966</v>
      </c>
      <c r="DF6" s="105">
        <f t="shared" si="14"/>
        <v>45967</v>
      </c>
      <c r="DG6" s="106">
        <f t="shared" si="14"/>
        <v>45968</v>
      </c>
      <c r="DH6" s="104">
        <f t="shared" si="14"/>
        <v>45969</v>
      </c>
      <c r="DI6" s="223">
        <f t="shared" si="14"/>
        <v>45970</v>
      </c>
      <c r="DJ6" s="104">
        <f t="shared" si="14"/>
        <v>45971</v>
      </c>
      <c r="DK6" s="104">
        <f t="shared" si="14"/>
        <v>45972</v>
      </c>
      <c r="DL6" s="104">
        <f t="shared" si="14"/>
        <v>45973</v>
      </c>
      <c r="DM6" s="104">
        <f t="shared" si="14"/>
        <v>45974</v>
      </c>
      <c r="DN6" s="104">
        <f t="shared" si="14"/>
        <v>45975</v>
      </c>
      <c r="DO6" s="104">
        <f t="shared" si="14"/>
        <v>45976</v>
      </c>
      <c r="DP6" s="104">
        <f t="shared" si="14"/>
        <v>45977</v>
      </c>
      <c r="DQ6" s="104">
        <f t="shared" si="14"/>
        <v>45978</v>
      </c>
      <c r="DR6" s="104">
        <f t="shared" si="14"/>
        <v>45979</v>
      </c>
      <c r="DS6" s="104">
        <f t="shared" si="14"/>
        <v>45980</v>
      </c>
      <c r="DT6" s="104">
        <f t="shared" si="14"/>
        <v>45981</v>
      </c>
      <c r="DU6" s="104">
        <f t="shared" si="14"/>
        <v>45982</v>
      </c>
      <c r="DV6" s="104">
        <f t="shared" si="14"/>
        <v>45983</v>
      </c>
      <c r="DW6" s="104">
        <f t="shared" si="14"/>
        <v>45984</v>
      </c>
      <c r="DX6" s="104">
        <f t="shared" si="14"/>
        <v>45985</v>
      </c>
      <c r="DY6" s="105">
        <f t="shared" si="14"/>
        <v>45986</v>
      </c>
      <c r="DZ6" s="176">
        <f t="shared" si="14"/>
        <v>45987</v>
      </c>
      <c r="EA6" s="104">
        <f t="shared" si="14"/>
        <v>45988</v>
      </c>
      <c r="EB6" s="104">
        <f t="shared" si="14"/>
        <v>45989</v>
      </c>
      <c r="EC6" s="104">
        <f t="shared" si="14"/>
        <v>45990</v>
      </c>
      <c r="ED6" s="223">
        <f t="shared" si="14"/>
        <v>45991</v>
      </c>
      <c r="EE6" s="104">
        <f t="shared" si="14"/>
        <v>45992</v>
      </c>
      <c r="EF6" s="104">
        <f t="shared" si="14"/>
        <v>45993</v>
      </c>
      <c r="EG6" s="104">
        <f t="shared" si="14"/>
        <v>45994</v>
      </c>
      <c r="EH6" s="104">
        <f t="shared" si="14"/>
        <v>45995</v>
      </c>
      <c r="EI6" s="104">
        <f t="shared" si="14"/>
        <v>45996</v>
      </c>
      <c r="EJ6" s="105">
        <f t="shared" si="14"/>
        <v>45997</v>
      </c>
      <c r="EK6" s="106">
        <f t="shared" ref="EK6:FO6" si="19">IF($AH$1-EK$2&gt;=0,EK$2,"")</f>
        <v>45998</v>
      </c>
      <c r="EL6" s="104">
        <f t="shared" si="19"/>
        <v>45999</v>
      </c>
      <c r="EM6" s="104">
        <f t="shared" si="19"/>
        <v>46000</v>
      </c>
      <c r="EN6" s="104">
        <f t="shared" si="19"/>
        <v>46001</v>
      </c>
      <c r="EO6" s="104">
        <f t="shared" si="19"/>
        <v>46002</v>
      </c>
      <c r="EP6" s="104">
        <f t="shared" si="19"/>
        <v>46003</v>
      </c>
      <c r="EQ6" s="104">
        <f t="shared" si="19"/>
        <v>46004</v>
      </c>
      <c r="ER6" s="104">
        <f t="shared" si="19"/>
        <v>46005</v>
      </c>
      <c r="ES6" s="104">
        <f t="shared" si="19"/>
        <v>46006</v>
      </c>
      <c r="ET6" s="104">
        <f t="shared" si="19"/>
        <v>46007</v>
      </c>
      <c r="EU6" s="104">
        <f t="shared" si="19"/>
        <v>46008</v>
      </c>
      <c r="EV6" s="104">
        <f t="shared" si="19"/>
        <v>46009</v>
      </c>
      <c r="EW6" s="104">
        <f t="shared" si="19"/>
        <v>46010</v>
      </c>
      <c r="EX6" s="104">
        <f t="shared" si="19"/>
        <v>46011</v>
      </c>
      <c r="EY6" s="104">
        <f t="shared" si="19"/>
        <v>46012</v>
      </c>
      <c r="EZ6" s="104">
        <f t="shared" si="19"/>
        <v>46013</v>
      </c>
      <c r="FA6" s="104">
        <f t="shared" si="19"/>
        <v>46014</v>
      </c>
      <c r="FB6" s="104">
        <f t="shared" si="19"/>
        <v>46015</v>
      </c>
      <c r="FC6" s="105">
        <f t="shared" si="19"/>
        <v>46016</v>
      </c>
      <c r="FD6" s="176">
        <f t="shared" si="19"/>
        <v>46017</v>
      </c>
      <c r="FE6" s="104">
        <f t="shared" si="19"/>
        <v>46018</v>
      </c>
      <c r="FF6" s="104">
        <f t="shared" si="19"/>
        <v>46019</v>
      </c>
      <c r="FG6" s="184">
        <f t="shared" si="19"/>
        <v>46020</v>
      </c>
      <c r="FH6" s="104">
        <f t="shared" si="19"/>
        <v>46021</v>
      </c>
      <c r="FI6" s="104">
        <f t="shared" si="19"/>
        <v>46022</v>
      </c>
      <c r="FJ6" s="231">
        <f t="shared" si="19"/>
        <v>46023</v>
      </c>
      <c r="FK6" s="231">
        <f t="shared" si="19"/>
        <v>46024</v>
      </c>
      <c r="FL6" s="104">
        <f t="shared" si="19"/>
        <v>46025</v>
      </c>
      <c r="FM6" s="104">
        <f t="shared" si="19"/>
        <v>46026</v>
      </c>
      <c r="FN6" s="104">
        <f t="shared" si="19"/>
        <v>46027</v>
      </c>
      <c r="FO6" s="105">
        <f t="shared" si="19"/>
        <v>46028</v>
      </c>
      <c r="FP6" s="106">
        <f t="shared" si="15"/>
        <v>46029</v>
      </c>
      <c r="FQ6" s="104">
        <f t="shared" si="16"/>
        <v>46030</v>
      </c>
      <c r="FR6" s="104">
        <f t="shared" si="16"/>
        <v>46031</v>
      </c>
      <c r="FS6" s="104">
        <f t="shared" si="16"/>
        <v>46032</v>
      </c>
      <c r="FT6" s="104">
        <f t="shared" si="16"/>
        <v>46033</v>
      </c>
      <c r="FU6" s="104">
        <f t="shared" si="16"/>
        <v>46034</v>
      </c>
      <c r="FV6" s="104">
        <f t="shared" si="16"/>
        <v>46035</v>
      </c>
      <c r="FW6" s="104">
        <f t="shared" si="16"/>
        <v>46036</v>
      </c>
      <c r="FX6" s="104">
        <f t="shared" si="16"/>
        <v>46037</v>
      </c>
      <c r="FY6" s="104" t="str">
        <f t="shared" si="16"/>
        <v/>
      </c>
      <c r="FZ6" s="104" t="str">
        <f t="shared" si="16"/>
        <v/>
      </c>
      <c r="GA6" s="104" t="str">
        <f t="shared" si="16"/>
        <v/>
      </c>
      <c r="GB6" s="184" t="str">
        <f t="shared" si="16"/>
        <v/>
      </c>
      <c r="GC6" s="104" t="str">
        <f t="shared" si="16"/>
        <v/>
      </c>
      <c r="GD6" s="104" t="str">
        <f t="shared" si="16"/>
        <v/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191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7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232"/>
      <c r="FK7" s="232"/>
      <c r="FL7" s="42"/>
      <c r="FM7" s="46"/>
      <c r="FN7" s="42"/>
      <c r="FO7" s="43"/>
      <c r="FP7" s="171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187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19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48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49"/>
      <c r="AE8" s="249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249"/>
      <c r="AQ8" s="249"/>
      <c r="AR8" s="249"/>
      <c r="AS8" s="249"/>
      <c r="AT8" s="249"/>
      <c r="AU8" s="249"/>
      <c r="AV8" s="249"/>
      <c r="AW8" s="249"/>
      <c r="AX8" s="249"/>
      <c r="AY8" s="249"/>
      <c r="AZ8" s="249"/>
      <c r="BA8" s="249"/>
      <c r="BB8" s="249"/>
      <c r="BC8" s="249"/>
      <c r="BD8" s="249"/>
      <c r="BE8" s="249"/>
      <c r="BF8" s="249"/>
      <c r="BG8" s="249"/>
      <c r="BH8" s="249"/>
      <c r="BI8" s="249"/>
      <c r="BJ8" s="249"/>
      <c r="BK8" s="249"/>
      <c r="BL8" s="249"/>
      <c r="BM8" s="249"/>
      <c r="BN8" s="249"/>
      <c r="BO8" s="249"/>
      <c r="BP8" s="250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8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233"/>
      <c r="FK8" s="233"/>
      <c r="FL8" s="56"/>
      <c r="FM8" s="56"/>
      <c r="FN8" s="238"/>
      <c r="FO8" s="238"/>
      <c r="FP8" s="237"/>
      <c r="FQ8" s="238"/>
      <c r="FR8" s="238"/>
      <c r="FS8" s="56"/>
      <c r="FT8" s="56"/>
      <c r="FU8" s="56"/>
      <c r="FV8" s="56"/>
      <c r="FW8" s="56"/>
      <c r="FX8" s="56"/>
      <c r="FY8" s="56"/>
      <c r="FZ8" s="56"/>
      <c r="GA8" s="56"/>
      <c r="GB8" s="188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193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5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234"/>
      <c r="FK9" s="234"/>
      <c r="FL9" s="72"/>
      <c r="FM9" s="72"/>
      <c r="FN9" s="82"/>
      <c r="FO9" s="239"/>
      <c r="FP9" s="84"/>
      <c r="FQ9" s="82"/>
      <c r="FR9" s="82"/>
      <c r="FS9" s="72"/>
      <c r="FT9" s="72"/>
      <c r="FU9" s="72"/>
      <c r="FV9" s="72"/>
      <c r="FW9" s="72"/>
      <c r="FX9" s="72"/>
      <c r="FY9" s="72"/>
      <c r="FZ9" s="72"/>
      <c r="GA9" s="72"/>
      <c r="GB9" s="185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194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09"/>
      <c r="B10" s="76">
        <f t="shared" ref="B10:B53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46</v>
      </c>
      <c r="K10" s="77" t="s">
        <v>46</v>
      </c>
      <c r="L10" s="77"/>
      <c r="M10" s="78">
        <v>45877</v>
      </c>
      <c r="N10" s="91">
        <v>45877</v>
      </c>
      <c r="O10" s="86">
        <v>1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24"/>
      <c r="BM10" s="82"/>
      <c r="BN10" s="82"/>
      <c r="BO10" s="83"/>
      <c r="BP10" s="82"/>
      <c r="BQ10" s="82"/>
      <c r="BR10" s="82"/>
      <c r="BS10" s="82"/>
      <c r="BT10" s="224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24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24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24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5"/>
      <c r="FH10" s="82"/>
      <c r="FI10" s="82"/>
      <c r="FJ10" s="234"/>
      <c r="FK10" s="234"/>
      <c r="FL10" s="82"/>
      <c r="FM10" s="82"/>
      <c r="FN10" s="82"/>
      <c r="FO10" s="83"/>
      <c r="FP10" s="84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185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195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09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>
        <v>45881</v>
      </c>
      <c r="N11" s="91">
        <v>45881</v>
      </c>
      <c r="O11" s="86">
        <v>1</v>
      </c>
      <c r="P11" s="78">
        <v>45881</v>
      </c>
      <c r="Q11" s="91">
        <v>45881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24"/>
      <c r="BM11" s="82"/>
      <c r="BN11" s="82"/>
      <c r="BO11" s="83"/>
      <c r="BP11" s="82"/>
      <c r="BQ11" s="82"/>
      <c r="BR11" s="82"/>
      <c r="BS11" s="82"/>
      <c r="BT11" s="224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24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24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24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5"/>
      <c r="FH11" s="82"/>
      <c r="FI11" s="82"/>
      <c r="FJ11" s="234"/>
      <c r="FK11" s="234"/>
      <c r="FL11" s="82"/>
      <c r="FM11" s="82"/>
      <c r="FN11" s="82"/>
      <c r="FO11" s="83"/>
      <c r="FP11" s="84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185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195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04" customFormat="1" ht="30" customHeight="1" x14ac:dyDescent="0.15">
      <c r="A12" s="206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>
        <v>45881</v>
      </c>
      <c r="N12" s="91">
        <v>45881</v>
      </c>
      <c r="O12" s="86">
        <v>1</v>
      </c>
      <c r="P12" s="78">
        <v>45881</v>
      </c>
      <c r="Q12" s="91">
        <v>45881</v>
      </c>
      <c r="R12" s="197"/>
      <c r="S12" s="198"/>
      <c r="T12" s="199"/>
      <c r="U12" s="199"/>
      <c r="V12" s="199"/>
      <c r="W12" s="199"/>
      <c r="X12" s="199"/>
      <c r="Y12" s="200"/>
      <c r="Z12" s="200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200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200"/>
      <c r="AX12" s="201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225"/>
      <c r="BM12" s="199"/>
      <c r="BN12" s="199"/>
      <c r="BO12" s="200"/>
      <c r="BP12" s="199"/>
      <c r="BQ12" s="199"/>
      <c r="BR12" s="199"/>
      <c r="BS12" s="199"/>
      <c r="BT12" s="225"/>
      <c r="BU12" s="199"/>
      <c r="BV12" s="199"/>
      <c r="BW12" s="199"/>
      <c r="BX12" s="199"/>
      <c r="BY12" s="199"/>
      <c r="BZ12" s="199"/>
      <c r="CA12" s="200"/>
      <c r="CB12" s="201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225"/>
      <c r="CO12" s="199"/>
      <c r="CP12" s="199"/>
      <c r="CQ12" s="199"/>
      <c r="CR12" s="199"/>
      <c r="CS12" s="199"/>
      <c r="CT12" s="200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200"/>
      <c r="DG12" s="201"/>
      <c r="DH12" s="199"/>
      <c r="DI12" s="225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99"/>
      <c r="DW12" s="199"/>
      <c r="DX12" s="199"/>
      <c r="DY12" s="200"/>
      <c r="DZ12" s="199"/>
      <c r="EA12" s="199"/>
      <c r="EB12" s="199"/>
      <c r="EC12" s="199"/>
      <c r="ED12" s="225"/>
      <c r="EE12" s="199"/>
      <c r="EF12" s="199"/>
      <c r="EG12" s="199"/>
      <c r="EH12" s="199"/>
      <c r="EI12" s="199"/>
      <c r="EJ12" s="200"/>
      <c r="EK12" s="201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200"/>
      <c r="FD12" s="199"/>
      <c r="FE12" s="199"/>
      <c r="FF12" s="199"/>
      <c r="FG12" s="202"/>
      <c r="FH12" s="199"/>
      <c r="FI12" s="199"/>
      <c r="FJ12" s="235"/>
      <c r="FK12" s="235"/>
      <c r="FL12" s="199"/>
      <c r="FM12" s="199"/>
      <c r="FN12" s="199"/>
      <c r="FO12" s="200"/>
      <c r="FP12" s="201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202"/>
      <c r="GC12" s="199"/>
      <c r="GD12" s="199"/>
      <c r="GE12" s="199"/>
      <c r="GF12" s="199"/>
      <c r="GG12" s="200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200"/>
      <c r="GU12" s="203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200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</row>
    <row r="13" spans="1:242" s="204" customFormat="1" ht="30" customHeight="1" x14ac:dyDescent="0.15">
      <c r="A13" s="208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>
        <v>45882</v>
      </c>
      <c r="N13" s="91">
        <v>45882</v>
      </c>
      <c r="O13" s="86">
        <v>1</v>
      </c>
      <c r="P13" s="78">
        <v>45882</v>
      </c>
      <c r="Q13" s="91">
        <v>45882</v>
      </c>
      <c r="R13" s="197"/>
      <c r="S13" s="198"/>
      <c r="T13" s="199"/>
      <c r="U13" s="199"/>
      <c r="V13" s="199"/>
      <c r="W13" s="199"/>
      <c r="X13" s="199"/>
      <c r="Y13" s="200"/>
      <c r="Z13" s="200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200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200"/>
      <c r="AX13" s="201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225"/>
      <c r="BM13" s="199"/>
      <c r="BN13" s="199"/>
      <c r="BO13" s="200"/>
      <c r="BP13" s="199"/>
      <c r="BQ13" s="199"/>
      <c r="BR13" s="199"/>
      <c r="BS13" s="199"/>
      <c r="BT13" s="225"/>
      <c r="BU13" s="199"/>
      <c r="BV13" s="199"/>
      <c r="BW13" s="199"/>
      <c r="BX13" s="199"/>
      <c r="BY13" s="199"/>
      <c r="BZ13" s="199"/>
      <c r="CA13" s="200"/>
      <c r="CB13" s="201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225"/>
      <c r="CO13" s="199"/>
      <c r="CP13" s="199"/>
      <c r="CQ13" s="199"/>
      <c r="CR13" s="199"/>
      <c r="CS13" s="199"/>
      <c r="CT13" s="200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200"/>
      <c r="DG13" s="201"/>
      <c r="DH13" s="199"/>
      <c r="DI13" s="225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199"/>
      <c r="DV13" s="199"/>
      <c r="DW13" s="199"/>
      <c r="DX13" s="199"/>
      <c r="DY13" s="200"/>
      <c r="DZ13" s="199"/>
      <c r="EA13" s="199"/>
      <c r="EB13" s="199"/>
      <c r="EC13" s="199"/>
      <c r="ED13" s="225"/>
      <c r="EE13" s="199"/>
      <c r="EF13" s="199"/>
      <c r="EG13" s="199"/>
      <c r="EH13" s="199"/>
      <c r="EI13" s="199"/>
      <c r="EJ13" s="200"/>
      <c r="EK13" s="201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200"/>
      <c r="FD13" s="199"/>
      <c r="FE13" s="199"/>
      <c r="FF13" s="199"/>
      <c r="FG13" s="202"/>
      <c r="FH13" s="199"/>
      <c r="FI13" s="199"/>
      <c r="FJ13" s="235"/>
      <c r="FK13" s="235"/>
      <c r="FL13" s="199"/>
      <c r="FM13" s="199"/>
      <c r="FN13" s="199"/>
      <c r="FO13" s="200"/>
      <c r="FP13" s="201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202"/>
      <c r="GC13" s="199"/>
      <c r="GD13" s="199"/>
      <c r="GE13" s="199"/>
      <c r="GF13" s="199"/>
      <c r="GG13" s="200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200"/>
      <c r="GU13" s="203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200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</row>
    <row r="14" spans="1:242" s="204" customFormat="1" ht="30" customHeight="1" x14ac:dyDescent="0.15">
      <c r="A14" s="208"/>
      <c r="B14" s="76">
        <f t="shared" si="20"/>
        <v>5</v>
      </c>
      <c r="C14" s="93"/>
      <c r="D14" s="93" t="s">
        <v>51</v>
      </c>
      <c r="E14" s="94"/>
      <c r="F14" s="169"/>
      <c r="G14" s="96"/>
      <c r="H14" s="164"/>
      <c r="I14" s="163"/>
      <c r="J14" s="77"/>
      <c r="K14" s="77" t="s">
        <v>46</v>
      </c>
      <c r="L14" s="77"/>
      <c r="M14" s="91">
        <v>45882</v>
      </c>
      <c r="N14" s="91">
        <v>45882</v>
      </c>
      <c r="O14" s="86">
        <v>1</v>
      </c>
      <c r="P14" s="78">
        <v>45882</v>
      </c>
      <c r="Q14" s="91">
        <v>45882</v>
      </c>
      <c r="R14" s="197"/>
      <c r="S14" s="198"/>
      <c r="T14" s="199"/>
      <c r="U14" s="199"/>
      <c r="V14" s="199"/>
      <c r="W14" s="199"/>
      <c r="X14" s="199"/>
      <c r="Y14" s="200"/>
      <c r="Z14" s="200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200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200"/>
      <c r="AX14" s="201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225"/>
      <c r="BM14" s="199"/>
      <c r="BN14" s="199"/>
      <c r="BO14" s="200"/>
      <c r="BP14" s="199"/>
      <c r="BQ14" s="199"/>
      <c r="BR14" s="199"/>
      <c r="BS14" s="199"/>
      <c r="BT14" s="225"/>
      <c r="BU14" s="199"/>
      <c r="BV14" s="199"/>
      <c r="BW14" s="199"/>
      <c r="BX14" s="199"/>
      <c r="BY14" s="199"/>
      <c r="BZ14" s="199"/>
      <c r="CA14" s="200"/>
      <c r="CB14" s="201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225"/>
      <c r="CO14" s="199"/>
      <c r="CP14" s="199"/>
      <c r="CQ14" s="199"/>
      <c r="CR14" s="199"/>
      <c r="CS14" s="199"/>
      <c r="CT14" s="200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200"/>
      <c r="DG14" s="201"/>
      <c r="DH14" s="199"/>
      <c r="DI14" s="225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200"/>
      <c r="DZ14" s="199"/>
      <c r="EA14" s="199"/>
      <c r="EB14" s="199"/>
      <c r="EC14" s="199"/>
      <c r="ED14" s="225"/>
      <c r="EE14" s="199"/>
      <c r="EF14" s="199"/>
      <c r="EG14" s="199"/>
      <c r="EH14" s="199"/>
      <c r="EI14" s="199"/>
      <c r="EJ14" s="200"/>
      <c r="EK14" s="201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200"/>
      <c r="FD14" s="199"/>
      <c r="FE14" s="199"/>
      <c r="FF14" s="199"/>
      <c r="FG14" s="202"/>
      <c r="FH14" s="199"/>
      <c r="FI14" s="199"/>
      <c r="FJ14" s="235"/>
      <c r="FK14" s="235"/>
      <c r="FL14" s="199"/>
      <c r="FM14" s="199"/>
      <c r="FN14" s="199"/>
      <c r="FO14" s="200"/>
      <c r="FP14" s="201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202"/>
      <c r="GC14" s="199"/>
      <c r="GD14" s="199"/>
      <c r="GE14" s="199"/>
      <c r="GF14" s="199"/>
      <c r="GG14" s="200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200"/>
      <c r="GU14" s="203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200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</row>
    <row r="15" spans="1:242" s="204" customFormat="1" ht="30" customHeight="1" x14ac:dyDescent="0.15">
      <c r="A15" s="208"/>
      <c r="B15" s="76">
        <f t="shared" si="20"/>
        <v>6</v>
      </c>
      <c r="C15" s="93"/>
      <c r="D15" s="93"/>
      <c r="E15" s="94"/>
      <c r="F15" s="169" t="s">
        <v>28</v>
      </c>
      <c r="G15" s="96" t="s">
        <v>50</v>
      </c>
      <c r="H15" s="164" t="s">
        <v>53</v>
      </c>
      <c r="I15" s="163" t="s">
        <v>24</v>
      </c>
      <c r="J15" s="77" t="s">
        <v>45</v>
      </c>
      <c r="K15" s="77" t="s">
        <v>46</v>
      </c>
      <c r="L15" s="77"/>
      <c r="M15" s="91"/>
      <c r="N15" s="91"/>
      <c r="O15" s="86">
        <v>0</v>
      </c>
      <c r="P15" s="78">
        <v>45889</v>
      </c>
      <c r="Q15" s="91">
        <v>45889</v>
      </c>
      <c r="R15" s="197"/>
      <c r="S15" s="198"/>
      <c r="T15" s="199"/>
      <c r="U15" s="199"/>
      <c r="V15" s="199"/>
      <c r="W15" s="199"/>
      <c r="X15" s="199"/>
      <c r="Y15" s="200"/>
      <c r="Z15" s="200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200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200"/>
      <c r="AX15" s="201"/>
      <c r="AY15" s="199"/>
      <c r="AZ15" s="199"/>
      <c r="BA15" s="199"/>
      <c r="BB15" s="199"/>
      <c r="BC15" s="199"/>
      <c r="BD15" s="199"/>
      <c r="BE15" s="199"/>
      <c r="BF15" s="199"/>
      <c r="BG15" s="199"/>
      <c r="BH15" s="199"/>
      <c r="BI15" s="199"/>
      <c r="BJ15" s="199"/>
      <c r="BK15" s="199"/>
      <c r="BL15" s="225"/>
      <c r="BM15" s="199"/>
      <c r="BN15" s="199"/>
      <c r="BO15" s="200"/>
      <c r="BP15" s="199"/>
      <c r="BQ15" s="199"/>
      <c r="BR15" s="199"/>
      <c r="BS15" s="199"/>
      <c r="BT15" s="225"/>
      <c r="BU15" s="199"/>
      <c r="BV15" s="199"/>
      <c r="BW15" s="199"/>
      <c r="BX15" s="199"/>
      <c r="BY15" s="199"/>
      <c r="BZ15" s="199"/>
      <c r="CA15" s="200"/>
      <c r="CB15" s="201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225"/>
      <c r="CO15" s="199"/>
      <c r="CP15" s="199"/>
      <c r="CQ15" s="199"/>
      <c r="CR15" s="199"/>
      <c r="CS15" s="199"/>
      <c r="CT15" s="200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200"/>
      <c r="DG15" s="201"/>
      <c r="DH15" s="199"/>
      <c r="DI15" s="225"/>
      <c r="DJ15" s="199"/>
      <c r="DK15" s="199"/>
      <c r="DL15" s="199"/>
      <c r="DM15" s="199"/>
      <c r="DN15" s="199"/>
      <c r="DO15" s="199"/>
      <c r="DP15" s="199"/>
      <c r="DQ15" s="199"/>
      <c r="DR15" s="199"/>
      <c r="DS15" s="199"/>
      <c r="DT15" s="199"/>
      <c r="DU15" s="199"/>
      <c r="DV15" s="199"/>
      <c r="DW15" s="199"/>
      <c r="DX15" s="199"/>
      <c r="DY15" s="200"/>
      <c r="DZ15" s="199"/>
      <c r="EA15" s="199"/>
      <c r="EB15" s="199"/>
      <c r="EC15" s="199"/>
      <c r="ED15" s="225"/>
      <c r="EE15" s="199"/>
      <c r="EF15" s="199"/>
      <c r="EG15" s="199"/>
      <c r="EH15" s="199"/>
      <c r="EI15" s="199"/>
      <c r="EJ15" s="200"/>
      <c r="EK15" s="201"/>
      <c r="EL15" s="199"/>
      <c r="EM15" s="199"/>
      <c r="EN15" s="199"/>
      <c r="EO15" s="199"/>
      <c r="EP15" s="199"/>
      <c r="EQ15" s="199"/>
      <c r="ER15" s="199"/>
      <c r="ES15" s="199"/>
      <c r="ET15" s="199"/>
      <c r="EU15" s="199"/>
      <c r="EV15" s="199"/>
      <c r="EW15" s="199"/>
      <c r="EX15" s="199"/>
      <c r="EY15" s="199"/>
      <c r="EZ15" s="199"/>
      <c r="FA15" s="199"/>
      <c r="FB15" s="199"/>
      <c r="FC15" s="200"/>
      <c r="FD15" s="199"/>
      <c r="FE15" s="199"/>
      <c r="FF15" s="199"/>
      <c r="FG15" s="202"/>
      <c r="FH15" s="199"/>
      <c r="FI15" s="199"/>
      <c r="FJ15" s="235"/>
      <c r="FK15" s="235"/>
      <c r="FL15" s="199"/>
      <c r="FM15" s="199"/>
      <c r="FN15" s="199"/>
      <c r="FO15" s="200"/>
      <c r="FP15" s="201"/>
      <c r="FQ15" s="199"/>
      <c r="FR15" s="199"/>
      <c r="FS15" s="199"/>
      <c r="FT15" s="199"/>
      <c r="FU15" s="199"/>
      <c r="FV15" s="199"/>
      <c r="FW15" s="199"/>
      <c r="FX15" s="199"/>
      <c r="FY15" s="199"/>
      <c r="FZ15" s="199"/>
      <c r="GA15" s="199"/>
      <c r="GB15" s="202"/>
      <c r="GC15" s="199"/>
      <c r="GD15" s="199"/>
      <c r="GE15" s="199"/>
      <c r="GF15" s="199"/>
      <c r="GG15" s="200"/>
      <c r="GH15" s="199"/>
      <c r="GI15" s="199"/>
      <c r="GJ15" s="199"/>
      <c r="GK15" s="199"/>
      <c r="GL15" s="199"/>
      <c r="GM15" s="199"/>
      <c r="GN15" s="199"/>
      <c r="GO15" s="199"/>
      <c r="GP15" s="199"/>
      <c r="GQ15" s="199"/>
      <c r="GR15" s="199"/>
      <c r="GS15" s="199"/>
      <c r="GT15" s="200"/>
      <c r="GU15" s="203"/>
      <c r="GV15" s="199"/>
      <c r="GW15" s="199"/>
      <c r="GX15" s="199"/>
      <c r="GY15" s="199"/>
      <c r="GZ15" s="199"/>
      <c r="HA15" s="199"/>
      <c r="HB15" s="199"/>
      <c r="HC15" s="199"/>
      <c r="HD15" s="199"/>
      <c r="HE15" s="199"/>
      <c r="HF15" s="199"/>
      <c r="HG15" s="199"/>
      <c r="HH15" s="199"/>
      <c r="HI15" s="199"/>
      <c r="HJ15" s="200"/>
      <c r="HK15" s="199"/>
      <c r="HL15" s="199"/>
      <c r="HM15" s="199"/>
      <c r="HN15" s="199"/>
      <c r="HO15" s="199"/>
      <c r="HP15" s="199"/>
      <c r="HQ15" s="199"/>
      <c r="HR15" s="199"/>
      <c r="HS15" s="199"/>
      <c r="HT15" s="199"/>
      <c r="HU15" s="199"/>
      <c r="HV15" s="199"/>
    </row>
    <row r="16" spans="1:242" s="204" customFormat="1" ht="30" customHeight="1" x14ac:dyDescent="0.15">
      <c r="A16" s="208"/>
      <c r="B16" s="76">
        <f t="shared" si="20"/>
        <v>7</v>
      </c>
      <c r="C16" s="93"/>
      <c r="D16" s="93" t="s">
        <v>31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>
        <v>45883</v>
      </c>
      <c r="N16" s="91">
        <v>45883</v>
      </c>
      <c r="O16" s="86">
        <v>1</v>
      </c>
      <c r="P16" s="78">
        <v>45883</v>
      </c>
      <c r="Q16" s="91">
        <v>45883</v>
      </c>
      <c r="R16" s="197"/>
      <c r="S16" s="198"/>
      <c r="T16" s="199"/>
      <c r="U16" s="199"/>
      <c r="V16" s="199"/>
      <c r="W16" s="199"/>
      <c r="X16" s="199"/>
      <c r="Y16" s="200"/>
      <c r="Z16" s="200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200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200"/>
      <c r="AX16" s="201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225"/>
      <c r="BM16" s="199"/>
      <c r="BN16" s="199"/>
      <c r="BO16" s="200"/>
      <c r="BP16" s="199"/>
      <c r="BQ16" s="199"/>
      <c r="BR16" s="199"/>
      <c r="BS16" s="199"/>
      <c r="BT16" s="225"/>
      <c r="BU16" s="199"/>
      <c r="BV16" s="199"/>
      <c r="BW16" s="199"/>
      <c r="BX16" s="199"/>
      <c r="BY16" s="199"/>
      <c r="BZ16" s="199"/>
      <c r="CA16" s="200"/>
      <c r="CB16" s="201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225"/>
      <c r="CO16" s="199"/>
      <c r="CP16" s="199"/>
      <c r="CQ16" s="199"/>
      <c r="CR16" s="199"/>
      <c r="CS16" s="199"/>
      <c r="CT16" s="200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200"/>
      <c r="DG16" s="201"/>
      <c r="DH16" s="199"/>
      <c r="DI16" s="225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200"/>
      <c r="DZ16" s="199"/>
      <c r="EA16" s="199"/>
      <c r="EB16" s="199"/>
      <c r="EC16" s="199"/>
      <c r="ED16" s="225"/>
      <c r="EE16" s="199"/>
      <c r="EF16" s="199"/>
      <c r="EG16" s="199"/>
      <c r="EH16" s="199"/>
      <c r="EI16" s="199"/>
      <c r="EJ16" s="200"/>
      <c r="EK16" s="201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200"/>
      <c r="FD16" s="199"/>
      <c r="FE16" s="199"/>
      <c r="FF16" s="199"/>
      <c r="FG16" s="202"/>
      <c r="FH16" s="199"/>
      <c r="FI16" s="199"/>
      <c r="FJ16" s="235"/>
      <c r="FK16" s="235"/>
      <c r="FL16" s="199"/>
      <c r="FM16" s="199"/>
      <c r="FN16" s="199"/>
      <c r="FO16" s="200"/>
      <c r="FP16" s="201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202"/>
      <c r="GC16" s="199"/>
      <c r="GD16" s="199"/>
      <c r="GE16" s="199"/>
      <c r="GF16" s="199"/>
      <c r="GG16" s="200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199"/>
      <c r="GT16" s="200"/>
      <c r="GU16" s="203"/>
      <c r="GV16" s="199"/>
      <c r="GW16" s="199"/>
      <c r="GX16" s="199"/>
      <c r="GY16" s="199"/>
      <c r="GZ16" s="199"/>
      <c r="HA16" s="199"/>
      <c r="HB16" s="199"/>
      <c r="HC16" s="199"/>
      <c r="HD16" s="199"/>
      <c r="HE16" s="199"/>
      <c r="HF16" s="199"/>
      <c r="HG16" s="199"/>
      <c r="HH16" s="199"/>
      <c r="HI16" s="199"/>
      <c r="HJ16" s="200"/>
      <c r="HK16" s="199"/>
      <c r="HL16" s="199"/>
      <c r="HM16" s="199"/>
      <c r="HN16" s="199"/>
      <c r="HO16" s="199"/>
      <c r="HP16" s="199"/>
      <c r="HQ16" s="199"/>
      <c r="HR16" s="199"/>
      <c r="HS16" s="199"/>
      <c r="HT16" s="199"/>
      <c r="HU16" s="199"/>
      <c r="HV16" s="199"/>
    </row>
    <row r="17" spans="1:230" s="204" customFormat="1" ht="30" customHeight="1" x14ac:dyDescent="0.15">
      <c r="A17" s="208"/>
      <c r="B17" s="76">
        <f t="shared" si="20"/>
        <v>8</v>
      </c>
      <c r="C17" s="93"/>
      <c r="D17" s="93" t="s">
        <v>32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>
        <v>45883</v>
      </c>
      <c r="N17" s="91">
        <v>45883</v>
      </c>
      <c r="O17" s="86">
        <v>1</v>
      </c>
      <c r="P17" s="78">
        <v>45883</v>
      </c>
      <c r="Q17" s="91">
        <v>45883</v>
      </c>
      <c r="R17" s="197"/>
      <c r="S17" s="198"/>
      <c r="T17" s="199"/>
      <c r="U17" s="199"/>
      <c r="V17" s="199"/>
      <c r="W17" s="199"/>
      <c r="X17" s="199"/>
      <c r="Y17" s="200"/>
      <c r="Z17" s="200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200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200"/>
      <c r="AX17" s="201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225"/>
      <c r="BM17" s="199"/>
      <c r="BN17" s="199"/>
      <c r="BO17" s="200"/>
      <c r="BP17" s="199"/>
      <c r="BQ17" s="199"/>
      <c r="BR17" s="199"/>
      <c r="BS17" s="199"/>
      <c r="BT17" s="225"/>
      <c r="BU17" s="199"/>
      <c r="BV17" s="199"/>
      <c r="BW17" s="199"/>
      <c r="BX17" s="199"/>
      <c r="BY17" s="199"/>
      <c r="BZ17" s="199"/>
      <c r="CA17" s="200"/>
      <c r="CB17" s="201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225"/>
      <c r="CO17" s="199"/>
      <c r="CP17" s="199"/>
      <c r="CQ17" s="199"/>
      <c r="CR17" s="199"/>
      <c r="CS17" s="199"/>
      <c r="CT17" s="200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200"/>
      <c r="DG17" s="201"/>
      <c r="DH17" s="199"/>
      <c r="DI17" s="225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200"/>
      <c r="DZ17" s="199"/>
      <c r="EA17" s="199"/>
      <c r="EB17" s="199"/>
      <c r="EC17" s="199"/>
      <c r="ED17" s="225"/>
      <c r="EE17" s="199"/>
      <c r="EF17" s="199"/>
      <c r="EG17" s="199"/>
      <c r="EH17" s="199"/>
      <c r="EI17" s="199"/>
      <c r="EJ17" s="200"/>
      <c r="EK17" s="201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200"/>
      <c r="FD17" s="199"/>
      <c r="FE17" s="199"/>
      <c r="FF17" s="199"/>
      <c r="FG17" s="202"/>
      <c r="FH17" s="199"/>
      <c r="FI17" s="199"/>
      <c r="FJ17" s="235"/>
      <c r="FK17" s="235"/>
      <c r="FL17" s="199"/>
      <c r="FM17" s="199"/>
      <c r="FN17" s="199"/>
      <c r="FO17" s="200"/>
      <c r="FP17" s="201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202"/>
      <c r="GC17" s="199"/>
      <c r="GD17" s="199"/>
      <c r="GE17" s="199"/>
      <c r="GF17" s="199"/>
      <c r="GG17" s="200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200"/>
      <c r="GU17" s="203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200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</row>
    <row r="18" spans="1:230" s="204" customFormat="1" ht="30" customHeight="1" x14ac:dyDescent="0.15">
      <c r="A18" s="208"/>
      <c r="B18" s="76">
        <f t="shared" si="20"/>
        <v>9</v>
      </c>
      <c r="C18" s="93"/>
      <c r="D18" s="93" t="s">
        <v>33</v>
      </c>
      <c r="E18" s="94"/>
      <c r="F18" s="169"/>
      <c r="G18" s="96"/>
      <c r="H18" s="164"/>
      <c r="I18" s="163"/>
      <c r="J18" s="77"/>
      <c r="K18" s="77" t="s">
        <v>46</v>
      </c>
      <c r="L18" s="77"/>
      <c r="M18" s="91">
        <v>45884</v>
      </c>
      <c r="N18" s="91">
        <v>45884</v>
      </c>
      <c r="O18" s="86">
        <v>1</v>
      </c>
      <c r="P18" s="78">
        <v>45884</v>
      </c>
      <c r="Q18" s="91">
        <v>45887</v>
      </c>
      <c r="R18" s="197"/>
      <c r="S18" s="198"/>
      <c r="T18" s="199"/>
      <c r="U18" s="199"/>
      <c r="V18" s="199"/>
      <c r="W18" s="199"/>
      <c r="X18" s="199"/>
      <c r="Y18" s="200"/>
      <c r="Z18" s="200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200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200"/>
      <c r="AX18" s="201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225"/>
      <c r="BM18" s="199"/>
      <c r="BN18" s="199"/>
      <c r="BO18" s="200"/>
      <c r="BP18" s="199"/>
      <c r="BQ18" s="199"/>
      <c r="BR18" s="199"/>
      <c r="BS18" s="199"/>
      <c r="BT18" s="225"/>
      <c r="BU18" s="199"/>
      <c r="BV18" s="199"/>
      <c r="BW18" s="199"/>
      <c r="BX18" s="199"/>
      <c r="BY18" s="199"/>
      <c r="BZ18" s="199"/>
      <c r="CA18" s="200"/>
      <c r="CB18" s="201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225"/>
      <c r="CO18" s="199"/>
      <c r="CP18" s="199"/>
      <c r="CQ18" s="199"/>
      <c r="CR18" s="199"/>
      <c r="CS18" s="199"/>
      <c r="CT18" s="200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200"/>
      <c r="DG18" s="201"/>
      <c r="DH18" s="199"/>
      <c r="DI18" s="225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200"/>
      <c r="DZ18" s="199"/>
      <c r="EA18" s="199"/>
      <c r="EB18" s="199"/>
      <c r="EC18" s="199"/>
      <c r="ED18" s="225"/>
      <c r="EE18" s="199"/>
      <c r="EF18" s="199"/>
      <c r="EG18" s="199"/>
      <c r="EH18" s="199"/>
      <c r="EI18" s="199"/>
      <c r="EJ18" s="200"/>
      <c r="EK18" s="201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200"/>
      <c r="FD18" s="199"/>
      <c r="FE18" s="199"/>
      <c r="FF18" s="199"/>
      <c r="FG18" s="202"/>
      <c r="FH18" s="199"/>
      <c r="FI18" s="199"/>
      <c r="FJ18" s="235"/>
      <c r="FK18" s="235"/>
      <c r="FL18" s="199"/>
      <c r="FM18" s="199"/>
      <c r="FN18" s="199"/>
      <c r="FO18" s="200"/>
      <c r="FP18" s="201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202"/>
      <c r="GC18" s="199"/>
      <c r="GD18" s="199"/>
      <c r="GE18" s="199"/>
      <c r="GF18" s="199"/>
      <c r="GG18" s="200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199"/>
      <c r="GT18" s="200"/>
      <c r="GU18" s="203"/>
      <c r="GV18" s="199"/>
      <c r="GW18" s="199"/>
      <c r="GX18" s="199"/>
      <c r="GY18" s="199"/>
      <c r="GZ18" s="199"/>
      <c r="HA18" s="199"/>
      <c r="HB18" s="199"/>
      <c r="HC18" s="199"/>
      <c r="HD18" s="199"/>
      <c r="HE18" s="199"/>
      <c r="HF18" s="199"/>
      <c r="HG18" s="199"/>
      <c r="HH18" s="199"/>
      <c r="HI18" s="199"/>
      <c r="HJ18" s="200"/>
      <c r="HK18" s="199"/>
      <c r="HL18" s="199"/>
      <c r="HM18" s="199"/>
      <c r="HN18" s="199"/>
      <c r="HO18" s="199"/>
      <c r="HP18" s="199"/>
      <c r="HQ18" s="199"/>
      <c r="HR18" s="199"/>
      <c r="HS18" s="199"/>
      <c r="HT18" s="199"/>
      <c r="HU18" s="199"/>
      <c r="HV18" s="199"/>
    </row>
    <row r="19" spans="1:230" ht="30" customHeight="1" x14ac:dyDescent="0.15">
      <c r="A19" s="209"/>
      <c r="B19" s="76">
        <f t="shared" si="20"/>
        <v>10</v>
      </c>
      <c r="C19" s="93"/>
      <c r="D19" s="93" t="s">
        <v>34</v>
      </c>
      <c r="E19" s="93"/>
      <c r="F19" s="95"/>
      <c r="G19" s="95"/>
      <c r="H19" s="164"/>
      <c r="I19" s="163"/>
      <c r="J19" s="77"/>
      <c r="K19" s="77" t="s">
        <v>46</v>
      </c>
      <c r="L19" s="77"/>
      <c r="M19" s="91">
        <v>45888</v>
      </c>
      <c r="N19" s="91">
        <v>45888</v>
      </c>
      <c r="O19" s="86">
        <v>1</v>
      </c>
      <c r="P19" s="78">
        <v>45888</v>
      </c>
      <c r="Q19" s="91">
        <v>45889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24"/>
      <c r="BM19" s="82"/>
      <c r="BN19" s="82"/>
      <c r="BO19" s="83"/>
      <c r="BP19" s="82"/>
      <c r="BQ19" s="82"/>
      <c r="BR19" s="82"/>
      <c r="BS19" s="82"/>
      <c r="BT19" s="224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24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24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24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5"/>
      <c r="FH19" s="82"/>
      <c r="FI19" s="82"/>
      <c r="FJ19" s="234"/>
      <c r="FK19" s="234"/>
      <c r="FL19" s="82"/>
      <c r="FM19" s="82"/>
      <c r="FN19" s="82"/>
      <c r="FO19" s="83"/>
      <c r="FP19" s="84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185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195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A20" s="58">
        <v>1</v>
      </c>
      <c r="B20" s="76">
        <f t="shared" si="20"/>
        <v>11</v>
      </c>
      <c r="C20" s="94"/>
      <c r="D20" s="93" t="s">
        <v>35</v>
      </c>
      <c r="E20" s="94"/>
      <c r="F20" s="97"/>
      <c r="G20" s="96"/>
      <c r="H20" s="164"/>
      <c r="I20" s="163"/>
      <c r="J20" s="77"/>
      <c r="K20" s="77" t="s">
        <v>46</v>
      </c>
      <c r="L20" s="77"/>
      <c r="M20" s="78">
        <v>45888</v>
      </c>
      <c r="N20" s="91">
        <v>45888</v>
      </c>
      <c r="O20" s="86">
        <v>1</v>
      </c>
      <c r="P20" s="78">
        <v>45889</v>
      </c>
      <c r="Q20" s="91">
        <v>45891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24"/>
      <c r="BM20" s="82"/>
      <c r="BN20" s="82"/>
      <c r="BO20" s="83"/>
      <c r="BP20" s="82"/>
      <c r="BQ20" s="82"/>
      <c r="BR20" s="82"/>
      <c r="BS20" s="82"/>
      <c r="BT20" s="224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24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24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24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5"/>
      <c r="FH20" s="82"/>
      <c r="FI20" s="82"/>
      <c r="FJ20" s="234"/>
      <c r="FK20" s="234"/>
      <c r="FL20" s="82"/>
      <c r="FM20" s="82"/>
      <c r="FN20" s="82"/>
      <c r="FO20" s="83"/>
      <c r="FP20" s="84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185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195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 t="s">
        <v>46</v>
      </c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24"/>
      <c r="BM21" s="82"/>
      <c r="BN21" s="82"/>
      <c r="BO21" s="83"/>
      <c r="BP21" s="82"/>
      <c r="BQ21" s="82"/>
      <c r="BR21" s="82"/>
      <c r="BS21" s="82"/>
      <c r="BT21" s="224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24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24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24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5"/>
      <c r="FH21" s="82"/>
      <c r="FI21" s="82"/>
      <c r="FJ21" s="234"/>
      <c r="FK21" s="234"/>
      <c r="FL21" s="82"/>
      <c r="FM21" s="82"/>
      <c r="FN21" s="82"/>
      <c r="FO21" s="83"/>
      <c r="FP21" s="84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185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195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B22" s="76">
        <f t="shared" si="20"/>
        <v>13</v>
      </c>
      <c r="C22" s="94"/>
      <c r="D22" s="93"/>
      <c r="E22" s="94"/>
      <c r="F22" s="169" t="s">
        <v>36</v>
      </c>
      <c r="G22" s="96"/>
      <c r="H22" s="164" t="s">
        <v>53</v>
      </c>
      <c r="I22" s="163" t="s">
        <v>24</v>
      </c>
      <c r="J22" s="77" t="s">
        <v>45</v>
      </c>
      <c r="K22" s="77" t="s">
        <v>46</v>
      </c>
      <c r="L22" s="77"/>
      <c r="M22" s="78"/>
      <c r="N22" s="91"/>
      <c r="O22" s="86">
        <v>0</v>
      </c>
      <c r="P22" s="78">
        <v>45901</v>
      </c>
      <c r="Q22" s="91">
        <v>45901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24"/>
      <c r="BM22" s="82"/>
      <c r="BN22" s="82"/>
      <c r="BO22" s="83"/>
      <c r="BP22" s="82"/>
      <c r="BQ22" s="82"/>
      <c r="BR22" s="82"/>
      <c r="BS22" s="82"/>
      <c r="BT22" s="224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24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24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24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5"/>
      <c r="FH22" s="82"/>
      <c r="FI22" s="82"/>
      <c r="FJ22" s="234"/>
      <c r="FK22" s="234"/>
      <c r="FL22" s="82"/>
      <c r="FM22" s="82"/>
      <c r="FN22" s="82"/>
      <c r="FO22" s="83"/>
      <c r="FP22" s="84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185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195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08"/>
      <c r="B23" s="76">
        <f t="shared" si="20"/>
        <v>14</v>
      </c>
      <c r="C23" s="95"/>
      <c r="D23" s="97"/>
      <c r="E23" s="95"/>
      <c r="F23" s="97"/>
      <c r="G23" s="96"/>
      <c r="H23" s="164"/>
      <c r="I23" s="163"/>
      <c r="J23" s="77"/>
      <c r="K23" s="77"/>
      <c r="L23" s="77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24"/>
      <c r="BM23" s="82"/>
      <c r="BN23" s="82"/>
      <c r="BO23" s="83"/>
      <c r="BP23" s="82"/>
      <c r="BQ23" s="82"/>
      <c r="BR23" s="82"/>
      <c r="BS23" s="82"/>
      <c r="BT23" s="224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24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24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24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5"/>
      <c r="FH23" s="82"/>
      <c r="FI23" s="82"/>
      <c r="FJ23" s="234"/>
      <c r="FK23" s="234"/>
      <c r="FL23" s="82"/>
      <c r="FM23" s="82"/>
      <c r="FN23" s="82"/>
      <c r="FO23" s="83"/>
      <c r="FP23" s="84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185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195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08"/>
      <c r="B24" s="76">
        <f t="shared" si="20"/>
        <v>15</v>
      </c>
      <c r="C24" s="169" t="s">
        <v>25</v>
      </c>
      <c r="D24" s="169" t="s">
        <v>29</v>
      </c>
      <c r="E24" s="169"/>
      <c r="F24" s="95"/>
      <c r="G24" s="96"/>
      <c r="H24" s="164"/>
      <c r="I24" s="163"/>
      <c r="J24" s="77"/>
      <c r="K24" s="77" t="s">
        <v>46</v>
      </c>
      <c r="L24" s="85"/>
      <c r="M24" s="78">
        <v>45887</v>
      </c>
      <c r="N24" s="91">
        <v>45887</v>
      </c>
      <c r="O24" s="86">
        <v>1</v>
      </c>
      <c r="P24" s="78">
        <v>45887</v>
      </c>
      <c r="Q24" s="91">
        <v>45887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24"/>
      <c r="BM24" s="82"/>
      <c r="BN24" s="82"/>
      <c r="BO24" s="83"/>
      <c r="BP24" s="82"/>
      <c r="BQ24" s="82"/>
      <c r="BR24" s="82"/>
      <c r="BS24" s="82"/>
      <c r="BT24" s="224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24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24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24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5"/>
      <c r="FH24" s="82"/>
      <c r="FI24" s="82"/>
      <c r="FJ24" s="234"/>
      <c r="FK24" s="234"/>
      <c r="FL24" s="82"/>
      <c r="FM24" s="82"/>
      <c r="FN24" s="82"/>
      <c r="FO24" s="83"/>
      <c r="FP24" s="84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185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195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08"/>
      <c r="B25" s="76">
        <f t="shared" si="20"/>
        <v>16</v>
      </c>
      <c r="C25" s="93"/>
      <c r="D25" s="93" t="s">
        <v>30</v>
      </c>
      <c r="E25" s="94"/>
      <c r="F25" s="168"/>
      <c r="G25" s="96"/>
      <c r="H25" s="164"/>
      <c r="I25" s="163"/>
      <c r="J25" s="77"/>
      <c r="K25" s="77" t="s">
        <v>46</v>
      </c>
      <c r="L25" s="85"/>
      <c r="M25" s="78">
        <v>45888</v>
      </c>
      <c r="N25" s="91">
        <v>45888</v>
      </c>
      <c r="O25" s="86">
        <v>1</v>
      </c>
      <c r="P25" s="78">
        <v>45888</v>
      </c>
      <c r="Q25" s="91">
        <v>45888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24"/>
      <c r="BM25" s="82"/>
      <c r="BN25" s="82"/>
      <c r="BO25" s="83"/>
      <c r="BP25" s="82"/>
      <c r="BQ25" s="82"/>
      <c r="BR25" s="82"/>
      <c r="BS25" s="82"/>
      <c r="BT25" s="224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24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24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24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5"/>
      <c r="FH25" s="82"/>
      <c r="FI25" s="82"/>
      <c r="FJ25" s="234"/>
      <c r="FK25" s="234"/>
      <c r="FL25" s="82"/>
      <c r="FM25" s="82"/>
      <c r="FN25" s="82"/>
      <c r="FO25" s="83"/>
      <c r="FP25" s="84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185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195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ht="30" customHeight="1" x14ac:dyDescent="0.15">
      <c r="A26" s="208"/>
      <c r="B26" s="76">
        <f t="shared" si="20"/>
        <v>17</v>
      </c>
      <c r="C26" s="93"/>
      <c r="D26" s="93" t="s">
        <v>49</v>
      </c>
      <c r="E26" s="94"/>
      <c r="F26" s="169"/>
      <c r="G26" s="96"/>
      <c r="H26" s="164"/>
      <c r="I26" s="163"/>
      <c r="J26" s="77"/>
      <c r="K26" s="77" t="s">
        <v>46</v>
      </c>
      <c r="L26" s="85"/>
      <c r="M26" s="78">
        <v>45889</v>
      </c>
      <c r="N26" s="91">
        <v>45889</v>
      </c>
      <c r="O26" s="86">
        <v>1</v>
      </c>
      <c r="P26" s="78">
        <v>45889</v>
      </c>
      <c r="Q26" s="91">
        <v>45889</v>
      </c>
      <c r="R26" s="80"/>
      <c r="S26" s="81"/>
      <c r="T26" s="82"/>
      <c r="U26" s="82"/>
      <c r="V26" s="82"/>
      <c r="W26" s="82"/>
      <c r="X26" s="82"/>
      <c r="Y26" s="83"/>
      <c r="Z26" s="83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3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3"/>
      <c r="AX26" s="84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224"/>
      <c r="BM26" s="82"/>
      <c r="BN26" s="82"/>
      <c r="BO26" s="83"/>
      <c r="BP26" s="82"/>
      <c r="BQ26" s="82"/>
      <c r="BR26" s="82"/>
      <c r="BS26" s="82"/>
      <c r="BT26" s="224"/>
      <c r="BU26" s="82"/>
      <c r="BV26" s="82"/>
      <c r="BW26" s="82"/>
      <c r="BX26" s="82"/>
      <c r="BY26" s="82"/>
      <c r="BZ26" s="82"/>
      <c r="CA26" s="83"/>
      <c r="CB26" s="84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224"/>
      <c r="CO26" s="82"/>
      <c r="CP26" s="82"/>
      <c r="CQ26" s="82"/>
      <c r="CR26" s="82"/>
      <c r="CS26" s="82"/>
      <c r="CT26" s="83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3"/>
      <c r="DG26" s="84"/>
      <c r="DH26" s="82"/>
      <c r="DI26" s="224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3"/>
      <c r="DZ26" s="82"/>
      <c r="EA26" s="82"/>
      <c r="EB26" s="82"/>
      <c r="EC26" s="82"/>
      <c r="ED26" s="224"/>
      <c r="EE26" s="82"/>
      <c r="EF26" s="82"/>
      <c r="EG26" s="82"/>
      <c r="EH26" s="82"/>
      <c r="EI26" s="82"/>
      <c r="EJ26" s="83"/>
      <c r="EK26" s="84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3"/>
      <c r="FD26" s="82"/>
      <c r="FE26" s="82"/>
      <c r="FF26" s="82"/>
      <c r="FG26" s="185"/>
      <c r="FH26" s="82"/>
      <c r="FI26" s="82"/>
      <c r="FJ26" s="234"/>
      <c r="FK26" s="234"/>
      <c r="FL26" s="82"/>
      <c r="FM26" s="82"/>
      <c r="FN26" s="82"/>
      <c r="FO26" s="83"/>
      <c r="FP26" s="84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185"/>
      <c r="GC26" s="82"/>
      <c r="GD26" s="82"/>
      <c r="GE26" s="82"/>
      <c r="GF26" s="82"/>
      <c r="GG26" s="83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3"/>
      <c r="GU26" s="195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3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</row>
    <row r="27" spans="1:230" s="204" customFormat="1" ht="30" customHeight="1" x14ac:dyDescent="0.15">
      <c r="A27" s="208"/>
      <c r="B27" s="76">
        <f t="shared" si="20"/>
        <v>18</v>
      </c>
      <c r="C27" s="205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197"/>
      <c r="S27" s="198"/>
      <c r="T27" s="199"/>
      <c r="U27" s="199"/>
      <c r="V27" s="199"/>
      <c r="W27" s="199"/>
      <c r="X27" s="199"/>
      <c r="Y27" s="200"/>
      <c r="Z27" s="200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200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200"/>
      <c r="AX27" s="201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225"/>
      <c r="BM27" s="199"/>
      <c r="BN27" s="199"/>
      <c r="BO27" s="200"/>
      <c r="BP27" s="199"/>
      <c r="BQ27" s="199"/>
      <c r="BR27" s="199"/>
      <c r="BS27" s="199"/>
      <c r="BT27" s="225"/>
      <c r="BU27" s="199"/>
      <c r="BV27" s="199"/>
      <c r="BW27" s="199"/>
      <c r="BX27" s="199"/>
      <c r="BY27" s="199"/>
      <c r="BZ27" s="199"/>
      <c r="CA27" s="200"/>
      <c r="CB27" s="201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225"/>
      <c r="CO27" s="199"/>
      <c r="CP27" s="199"/>
      <c r="CQ27" s="199"/>
      <c r="CR27" s="199"/>
      <c r="CS27" s="199"/>
      <c r="CT27" s="200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200"/>
      <c r="DG27" s="201"/>
      <c r="DH27" s="199"/>
      <c r="DI27" s="225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200"/>
      <c r="DZ27" s="199"/>
      <c r="EA27" s="199"/>
      <c r="EB27" s="199"/>
      <c r="EC27" s="199"/>
      <c r="ED27" s="225"/>
      <c r="EE27" s="199"/>
      <c r="EF27" s="199"/>
      <c r="EG27" s="199"/>
      <c r="EH27" s="199"/>
      <c r="EI27" s="199"/>
      <c r="EJ27" s="200"/>
      <c r="EK27" s="201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200"/>
      <c r="FD27" s="199"/>
      <c r="FE27" s="199"/>
      <c r="FF27" s="199"/>
      <c r="FG27" s="202"/>
      <c r="FH27" s="199"/>
      <c r="FI27" s="199"/>
      <c r="FJ27" s="235"/>
      <c r="FK27" s="235"/>
      <c r="FL27" s="199"/>
      <c r="FM27" s="199"/>
      <c r="FN27" s="199"/>
      <c r="FO27" s="200"/>
      <c r="FP27" s="201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202"/>
      <c r="GC27" s="199"/>
      <c r="GD27" s="199"/>
      <c r="GE27" s="199"/>
      <c r="GF27" s="199"/>
      <c r="GG27" s="200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200"/>
      <c r="GU27" s="203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200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45896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24"/>
      <c r="BM28" s="82"/>
      <c r="BN28" s="82"/>
      <c r="BO28" s="83"/>
      <c r="BP28" s="82"/>
      <c r="BQ28" s="82"/>
      <c r="BR28" s="82"/>
      <c r="BS28" s="82"/>
      <c r="BT28" s="224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24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24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24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5"/>
      <c r="FH28" s="82"/>
      <c r="FI28" s="82"/>
      <c r="FJ28" s="234"/>
      <c r="FK28" s="234"/>
      <c r="FL28" s="82"/>
      <c r="FM28" s="82"/>
      <c r="FN28" s="82"/>
      <c r="FO28" s="83"/>
      <c r="FP28" s="84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185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195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37</v>
      </c>
      <c r="G29" s="96" t="s">
        <v>52</v>
      </c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45901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24"/>
      <c r="BM29" s="82"/>
      <c r="BN29" s="82"/>
      <c r="BO29" s="83"/>
      <c r="BP29" s="82"/>
      <c r="BQ29" s="82"/>
      <c r="BR29" s="82"/>
      <c r="BS29" s="82"/>
      <c r="BT29" s="224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24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24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24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5"/>
      <c r="FH29" s="82"/>
      <c r="FI29" s="82"/>
      <c r="FJ29" s="234"/>
      <c r="FK29" s="234"/>
      <c r="FL29" s="82"/>
      <c r="FM29" s="82"/>
      <c r="FN29" s="82"/>
      <c r="FO29" s="83"/>
      <c r="FP29" s="84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185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195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08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45910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24"/>
      <c r="BM30" s="82"/>
      <c r="BN30" s="82"/>
      <c r="BO30" s="83"/>
      <c r="BP30" s="82"/>
      <c r="BQ30" s="82"/>
      <c r="BR30" s="82"/>
      <c r="BS30" s="82"/>
      <c r="BT30" s="224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24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24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24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5"/>
      <c r="FH30" s="82"/>
      <c r="FI30" s="82"/>
      <c r="FJ30" s="234"/>
      <c r="FK30" s="234"/>
      <c r="FL30" s="82"/>
      <c r="FM30" s="82"/>
      <c r="FN30" s="82"/>
      <c r="FO30" s="83"/>
      <c r="FP30" s="84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185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195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08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24"/>
      <c r="BM31" s="82"/>
      <c r="BN31" s="82"/>
      <c r="BO31" s="83"/>
      <c r="BP31" s="82"/>
      <c r="BQ31" s="82"/>
      <c r="BR31" s="82"/>
      <c r="BS31" s="82"/>
      <c r="BT31" s="224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24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24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24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5"/>
      <c r="FH31" s="82"/>
      <c r="FI31" s="82"/>
      <c r="FJ31" s="234"/>
      <c r="FK31" s="234"/>
      <c r="FL31" s="82"/>
      <c r="FM31" s="82"/>
      <c r="FN31" s="82"/>
      <c r="FO31" s="83"/>
      <c r="FP31" s="84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185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195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08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24"/>
      <c r="BM32" s="82"/>
      <c r="BN32" s="82"/>
      <c r="BO32" s="83"/>
      <c r="BP32" s="82"/>
      <c r="BQ32" s="82"/>
      <c r="BR32" s="82"/>
      <c r="BS32" s="82"/>
      <c r="BT32" s="224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24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24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24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5"/>
      <c r="FH32" s="82"/>
      <c r="FI32" s="82"/>
      <c r="FJ32" s="234"/>
      <c r="FK32" s="234"/>
      <c r="FL32" s="82"/>
      <c r="FM32" s="82"/>
      <c r="FN32" s="82"/>
      <c r="FO32" s="83"/>
      <c r="FP32" s="84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185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195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08"/>
      <c r="B33" s="76">
        <f t="shared" si="20"/>
        <v>24</v>
      </c>
      <c r="C33" s="93"/>
      <c r="D33" s="93"/>
      <c r="E33" s="94"/>
      <c r="F33" s="169" t="s">
        <v>54</v>
      </c>
      <c r="G33" s="96" t="s">
        <v>52</v>
      </c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45917</v>
      </c>
      <c r="Q33" s="91">
        <v>45917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24"/>
      <c r="BM33" s="82"/>
      <c r="BN33" s="82"/>
      <c r="BO33" s="83"/>
      <c r="BP33" s="82"/>
      <c r="BQ33" s="82"/>
      <c r="BR33" s="82"/>
      <c r="BS33" s="82"/>
      <c r="BT33" s="224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24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24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24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5"/>
      <c r="FH33" s="82"/>
      <c r="FI33" s="82"/>
      <c r="FJ33" s="234"/>
      <c r="FK33" s="234"/>
      <c r="FL33" s="82"/>
      <c r="FM33" s="82"/>
      <c r="FN33" s="82"/>
      <c r="FO33" s="83"/>
      <c r="FP33" s="84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185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195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04" customFormat="1" ht="30" customHeight="1" x14ac:dyDescent="0.15">
      <c r="A34" s="208"/>
      <c r="B34" s="76">
        <f t="shared" si="20"/>
        <v>25</v>
      </c>
      <c r="C34" s="220"/>
      <c r="D34" s="97"/>
      <c r="E34" s="97"/>
      <c r="F34" s="95"/>
      <c r="G34" s="211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197"/>
      <c r="S34" s="198"/>
      <c r="T34" s="199"/>
      <c r="U34" s="199"/>
      <c r="V34" s="199"/>
      <c r="W34" s="199"/>
      <c r="X34" s="199"/>
      <c r="Y34" s="200"/>
      <c r="Z34" s="200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200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0"/>
      <c r="AX34" s="201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225"/>
      <c r="BM34" s="199"/>
      <c r="BN34" s="199"/>
      <c r="BO34" s="200"/>
      <c r="BP34" s="199"/>
      <c r="BQ34" s="199"/>
      <c r="BR34" s="199"/>
      <c r="BS34" s="199"/>
      <c r="BT34" s="225"/>
      <c r="BU34" s="199"/>
      <c r="BV34" s="199"/>
      <c r="BW34" s="199"/>
      <c r="BX34" s="199"/>
      <c r="BY34" s="199"/>
      <c r="BZ34" s="199"/>
      <c r="CA34" s="200"/>
      <c r="CB34" s="201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225"/>
      <c r="CO34" s="199"/>
      <c r="CP34" s="199"/>
      <c r="CQ34" s="199"/>
      <c r="CR34" s="199"/>
      <c r="CS34" s="199"/>
      <c r="CT34" s="200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200"/>
      <c r="DG34" s="201"/>
      <c r="DH34" s="199"/>
      <c r="DI34" s="225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200"/>
      <c r="DZ34" s="199"/>
      <c r="EA34" s="199"/>
      <c r="EB34" s="199"/>
      <c r="EC34" s="199"/>
      <c r="ED34" s="225"/>
      <c r="EE34" s="199"/>
      <c r="EF34" s="199"/>
      <c r="EG34" s="199"/>
      <c r="EH34" s="199"/>
      <c r="EI34" s="199"/>
      <c r="EJ34" s="200"/>
      <c r="EK34" s="201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200"/>
      <c r="FD34" s="199"/>
      <c r="FE34" s="199"/>
      <c r="FF34" s="199"/>
      <c r="FG34" s="202"/>
      <c r="FH34" s="199"/>
      <c r="FI34" s="199"/>
      <c r="FJ34" s="235"/>
      <c r="FK34" s="235"/>
      <c r="FL34" s="199"/>
      <c r="FM34" s="199"/>
      <c r="FN34" s="199"/>
      <c r="FO34" s="200"/>
      <c r="FP34" s="201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202"/>
      <c r="GC34" s="199"/>
      <c r="GD34" s="199"/>
      <c r="GE34" s="199"/>
      <c r="GF34" s="199"/>
      <c r="GG34" s="200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200"/>
      <c r="GU34" s="203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200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</row>
    <row r="35" spans="1:230" ht="30" customHeight="1" x14ac:dyDescent="0.15">
      <c r="A35" s="208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24"/>
      <c r="BM35" s="82"/>
      <c r="BN35" s="82"/>
      <c r="BO35" s="83"/>
      <c r="BP35" s="82"/>
      <c r="BQ35" s="82"/>
      <c r="BR35" s="82"/>
      <c r="BS35" s="82"/>
      <c r="BT35" s="224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24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24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24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5"/>
      <c r="FH35" s="82"/>
      <c r="FI35" s="82"/>
      <c r="FJ35" s="234"/>
      <c r="FK35" s="234"/>
      <c r="FL35" s="82"/>
      <c r="FM35" s="82"/>
      <c r="FN35" s="82"/>
      <c r="FO35" s="83"/>
      <c r="FP35" s="84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185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195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08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24"/>
      <c r="BM36" s="82"/>
      <c r="BN36" s="82"/>
      <c r="BO36" s="83"/>
      <c r="BP36" s="82"/>
      <c r="BQ36" s="82"/>
      <c r="BR36" s="82"/>
      <c r="BS36" s="82"/>
      <c r="BT36" s="224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24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24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24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5"/>
      <c r="FH36" s="82"/>
      <c r="FI36" s="82"/>
      <c r="FJ36" s="234"/>
      <c r="FK36" s="234"/>
      <c r="FL36" s="82"/>
      <c r="FM36" s="82"/>
      <c r="FN36" s="82"/>
      <c r="FO36" s="83"/>
      <c r="FP36" s="84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185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195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08"/>
      <c r="B37" s="76">
        <f t="shared" si="20"/>
        <v>28</v>
      </c>
      <c r="C37" s="93"/>
      <c r="D37" s="93" t="s">
        <v>51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45918</v>
      </c>
      <c r="Q37" s="91">
        <v>45918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24"/>
      <c r="BM37" s="82"/>
      <c r="BN37" s="82"/>
      <c r="BO37" s="83"/>
      <c r="BP37" s="82"/>
      <c r="BQ37" s="82"/>
      <c r="BR37" s="82"/>
      <c r="BS37" s="82"/>
      <c r="BT37" s="224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24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24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24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5"/>
      <c r="FH37" s="82"/>
      <c r="FI37" s="82"/>
      <c r="FJ37" s="234"/>
      <c r="FK37" s="234"/>
      <c r="FL37" s="82"/>
      <c r="FM37" s="82"/>
      <c r="FN37" s="82"/>
      <c r="FO37" s="83"/>
      <c r="FP37" s="84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185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195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08"/>
      <c r="B38" s="76">
        <f t="shared" si="20"/>
        <v>29</v>
      </c>
      <c r="C38" s="93"/>
      <c r="D38" s="93" t="s">
        <v>31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45924</v>
      </c>
      <c r="Q38" s="91">
        <v>45926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24"/>
      <c r="BM38" s="82"/>
      <c r="BN38" s="82"/>
      <c r="BO38" s="83"/>
      <c r="BP38" s="82"/>
      <c r="BQ38" s="82"/>
      <c r="BR38" s="82"/>
      <c r="BS38" s="82"/>
      <c r="BT38" s="224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24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24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24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5"/>
      <c r="FH38" s="82"/>
      <c r="FI38" s="82"/>
      <c r="FJ38" s="234"/>
      <c r="FK38" s="234"/>
      <c r="FL38" s="82"/>
      <c r="FM38" s="82"/>
      <c r="FN38" s="82"/>
      <c r="FO38" s="83"/>
      <c r="FP38" s="84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185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195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08"/>
      <c r="B39" s="76">
        <f t="shared" si="20"/>
        <v>30</v>
      </c>
      <c r="C39" s="93"/>
      <c r="D39" s="93" t="s">
        <v>32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45929</v>
      </c>
      <c r="Q39" s="91">
        <v>45933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24"/>
      <c r="BM39" s="82"/>
      <c r="BN39" s="82"/>
      <c r="BO39" s="83"/>
      <c r="BP39" s="82"/>
      <c r="BQ39" s="82"/>
      <c r="BR39" s="82"/>
      <c r="BS39" s="82"/>
      <c r="BT39" s="224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24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24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24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5"/>
      <c r="FH39" s="82"/>
      <c r="FI39" s="82"/>
      <c r="FJ39" s="234"/>
      <c r="FK39" s="234"/>
      <c r="FL39" s="82"/>
      <c r="FM39" s="82"/>
      <c r="FN39" s="82"/>
      <c r="FO39" s="83"/>
      <c r="FP39" s="84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185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195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04" customFormat="1" ht="30" customHeight="1" x14ac:dyDescent="0.15">
      <c r="A40" s="208"/>
      <c r="B40" s="76">
        <f t="shared" si="20"/>
        <v>31</v>
      </c>
      <c r="C40" s="205"/>
      <c r="D40" s="93" t="s">
        <v>33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45936</v>
      </c>
      <c r="Q40" s="91">
        <v>45940</v>
      </c>
      <c r="R40" s="197"/>
      <c r="S40" s="198"/>
      <c r="T40" s="199"/>
      <c r="U40" s="199"/>
      <c r="V40" s="199"/>
      <c r="W40" s="199"/>
      <c r="X40" s="199"/>
      <c r="Y40" s="200"/>
      <c r="Z40" s="200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200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200"/>
      <c r="AX40" s="201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225"/>
      <c r="BM40" s="199"/>
      <c r="BN40" s="199"/>
      <c r="BO40" s="200"/>
      <c r="BP40" s="199"/>
      <c r="BQ40" s="199"/>
      <c r="BR40" s="199"/>
      <c r="BS40" s="199"/>
      <c r="BT40" s="225"/>
      <c r="BU40" s="199"/>
      <c r="BV40" s="199"/>
      <c r="BW40" s="199"/>
      <c r="BX40" s="199"/>
      <c r="BY40" s="199"/>
      <c r="BZ40" s="199"/>
      <c r="CA40" s="200"/>
      <c r="CB40" s="201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225"/>
      <c r="CO40" s="199"/>
      <c r="CP40" s="199"/>
      <c r="CQ40" s="199"/>
      <c r="CR40" s="199"/>
      <c r="CS40" s="199"/>
      <c r="CT40" s="200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200"/>
      <c r="DG40" s="201"/>
      <c r="DH40" s="199"/>
      <c r="DI40" s="225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200"/>
      <c r="DZ40" s="199"/>
      <c r="EA40" s="199"/>
      <c r="EB40" s="199"/>
      <c r="EC40" s="199"/>
      <c r="ED40" s="225"/>
      <c r="EE40" s="199"/>
      <c r="EF40" s="199"/>
      <c r="EG40" s="199"/>
      <c r="EH40" s="199"/>
      <c r="EI40" s="199"/>
      <c r="EJ40" s="200"/>
      <c r="EK40" s="201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200"/>
      <c r="FD40" s="199"/>
      <c r="FE40" s="199"/>
      <c r="FF40" s="199"/>
      <c r="FG40" s="202"/>
      <c r="FH40" s="199"/>
      <c r="FI40" s="199"/>
      <c r="FJ40" s="235"/>
      <c r="FK40" s="235"/>
      <c r="FL40" s="199"/>
      <c r="FM40" s="199"/>
      <c r="FN40" s="199"/>
      <c r="FO40" s="200"/>
      <c r="FP40" s="201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202"/>
      <c r="GC40" s="199"/>
      <c r="GD40" s="199"/>
      <c r="GE40" s="199"/>
      <c r="GF40" s="199"/>
      <c r="GG40" s="200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200"/>
      <c r="GU40" s="203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200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</row>
    <row r="41" spans="1:230" s="204" customFormat="1" ht="30" customHeight="1" x14ac:dyDescent="0.15">
      <c r="A41" s="208"/>
      <c r="B41" s="76">
        <f t="shared" si="20"/>
        <v>32</v>
      </c>
      <c r="C41" s="205"/>
      <c r="D41" s="93" t="s">
        <v>34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45944</v>
      </c>
      <c r="Q41" s="91">
        <v>45947</v>
      </c>
      <c r="R41" s="197"/>
      <c r="S41" s="198"/>
      <c r="T41" s="199"/>
      <c r="U41" s="199"/>
      <c r="V41" s="199"/>
      <c r="W41" s="199"/>
      <c r="X41" s="199"/>
      <c r="Y41" s="200"/>
      <c r="Z41" s="200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200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200"/>
      <c r="AX41" s="201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25"/>
      <c r="BM41" s="199"/>
      <c r="BN41" s="199"/>
      <c r="BO41" s="200"/>
      <c r="BP41" s="199"/>
      <c r="BQ41" s="199"/>
      <c r="BR41" s="199"/>
      <c r="BS41" s="199"/>
      <c r="BT41" s="225"/>
      <c r="BU41" s="199"/>
      <c r="BV41" s="199"/>
      <c r="BW41" s="199"/>
      <c r="BX41" s="199"/>
      <c r="BY41" s="199"/>
      <c r="BZ41" s="199"/>
      <c r="CA41" s="200"/>
      <c r="CB41" s="201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225"/>
      <c r="CO41" s="199"/>
      <c r="CP41" s="199"/>
      <c r="CQ41" s="199"/>
      <c r="CR41" s="199"/>
      <c r="CS41" s="199"/>
      <c r="CT41" s="200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200"/>
      <c r="DG41" s="201"/>
      <c r="DH41" s="199"/>
      <c r="DI41" s="225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200"/>
      <c r="DZ41" s="199"/>
      <c r="EA41" s="199"/>
      <c r="EB41" s="199"/>
      <c r="EC41" s="199"/>
      <c r="ED41" s="225"/>
      <c r="EE41" s="199"/>
      <c r="EF41" s="199"/>
      <c r="EG41" s="199"/>
      <c r="EH41" s="199"/>
      <c r="EI41" s="199"/>
      <c r="EJ41" s="200"/>
      <c r="EK41" s="201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200"/>
      <c r="FD41" s="199"/>
      <c r="FE41" s="199"/>
      <c r="FF41" s="199"/>
      <c r="FG41" s="202"/>
      <c r="FH41" s="199"/>
      <c r="FI41" s="199"/>
      <c r="FJ41" s="235"/>
      <c r="FK41" s="235"/>
      <c r="FL41" s="199"/>
      <c r="FM41" s="199"/>
      <c r="FN41" s="199"/>
      <c r="FO41" s="200"/>
      <c r="FP41" s="201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202"/>
      <c r="GC41" s="199"/>
      <c r="GD41" s="199"/>
      <c r="GE41" s="199"/>
      <c r="GF41" s="199"/>
      <c r="GG41" s="200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200"/>
      <c r="GU41" s="203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200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</row>
    <row r="42" spans="1:230" s="204" customFormat="1" ht="30" customHeight="1" x14ac:dyDescent="0.15">
      <c r="A42" s="208"/>
      <c r="B42" s="76">
        <f t="shared" si="20"/>
        <v>33</v>
      </c>
      <c r="C42" s="205"/>
      <c r="D42" s="93" t="s">
        <v>35</v>
      </c>
      <c r="E42" s="93"/>
      <c r="F42" s="168"/>
      <c r="G42" s="96"/>
      <c r="H42" s="164"/>
      <c r="I42" s="163"/>
      <c r="J42" s="77"/>
      <c r="K42" s="77"/>
      <c r="L42" s="85"/>
      <c r="M42" s="78"/>
      <c r="N42" s="91"/>
      <c r="O42" s="86">
        <v>0</v>
      </c>
      <c r="P42" s="78">
        <v>45950</v>
      </c>
      <c r="Q42" s="91">
        <v>45954</v>
      </c>
      <c r="R42" s="197"/>
      <c r="S42" s="198"/>
      <c r="T42" s="199"/>
      <c r="U42" s="199"/>
      <c r="V42" s="199"/>
      <c r="W42" s="199"/>
      <c r="X42" s="199"/>
      <c r="Y42" s="200"/>
      <c r="Z42" s="200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200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200"/>
      <c r="AX42" s="201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225"/>
      <c r="BM42" s="199"/>
      <c r="BN42" s="199"/>
      <c r="BO42" s="200"/>
      <c r="BP42" s="199"/>
      <c r="BQ42" s="199"/>
      <c r="BR42" s="199"/>
      <c r="BS42" s="199"/>
      <c r="BT42" s="225"/>
      <c r="BU42" s="199"/>
      <c r="BV42" s="199"/>
      <c r="BW42" s="199"/>
      <c r="BX42" s="199"/>
      <c r="BY42" s="199"/>
      <c r="BZ42" s="199"/>
      <c r="CA42" s="200"/>
      <c r="CB42" s="201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225"/>
      <c r="CO42" s="199"/>
      <c r="CP42" s="199"/>
      <c r="CQ42" s="199"/>
      <c r="CR42" s="199"/>
      <c r="CS42" s="199"/>
      <c r="CT42" s="200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200"/>
      <c r="DG42" s="201"/>
      <c r="DH42" s="199"/>
      <c r="DI42" s="225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200"/>
      <c r="DZ42" s="199"/>
      <c r="EA42" s="199"/>
      <c r="EB42" s="199"/>
      <c r="EC42" s="199"/>
      <c r="ED42" s="225"/>
      <c r="EE42" s="199"/>
      <c r="EF42" s="199"/>
      <c r="EG42" s="199"/>
      <c r="EH42" s="199"/>
      <c r="EI42" s="199"/>
      <c r="EJ42" s="200"/>
      <c r="EK42" s="201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200"/>
      <c r="FD42" s="199"/>
      <c r="FE42" s="199"/>
      <c r="FF42" s="199"/>
      <c r="FG42" s="202"/>
      <c r="FH42" s="199"/>
      <c r="FI42" s="199"/>
      <c r="FJ42" s="235"/>
      <c r="FK42" s="235"/>
      <c r="FL42" s="199"/>
      <c r="FM42" s="199"/>
      <c r="FN42" s="199"/>
      <c r="FO42" s="200"/>
      <c r="FP42" s="201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202"/>
      <c r="GC42" s="199"/>
      <c r="GD42" s="199"/>
      <c r="GE42" s="199"/>
      <c r="GF42" s="199"/>
      <c r="GG42" s="200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200"/>
      <c r="GU42" s="203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200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</row>
    <row r="43" spans="1:230" s="204" customFormat="1" ht="30" customHeight="1" x14ac:dyDescent="0.15">
      <c r="A43" s="208"/>
      <c r="B43" s="76">
        <f t="shared" si="20"/>
        <v>34</v>
      </c>
      <c r="C43" s="205"/>
      <c r="D43" s="93" t="s">
        <v>49</v>
      </c>
      <c r="E43" s="93"/>
      <c r="F43" s="168"/>
      <c r="G43" s="96"/>
      <c r="H43" s="164"/>
      <c r="I43" s="163"/>
      <c r="J43" s="77"/>
      <c r="K43" s="77" t="s">
        <v>46</v>
      </c>
      <c r="L43" s="85"/>
      <c r="M43" s="78"/>
      <c r="N43" s="91"/>
      <c r="O43" s="86">
        <v>0</v>
      </c>
      <c r="P43" s="78">
        <v>45957</v>
      </c>
      <c r="Q43" s="91">
        <v>45958</v>
      </c>
      <c r="R43" s="197"/>
      <c r="S43" s="198"/>
      <c r="T43" s="199"/>
      <c r="U43" s="199"/>
      <c r="V43" s="199"/>
      <c r="W43" s="199"/>
      <c r="X43" s="199"/>
      <c r="Y43" s="200"/>
      <c r="Z43" s="200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200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200"/>
      <c r="AX43" s="201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225"/>
      <c r="BM43" s="199"/>
      <c r="BN43" s="199"/>
      <c r="BO43" s="200"/>
      <c r="BP43" s="199"/>
      <c r="BQ43" s="199"/>
      <c r="BR43" s="199"/>
      <c r="BS43" s="199"/>
      <c r="BT43" s="225"/>
      <c r="BU43" s="199"/>
      <c r="BV43" s="199"/>
      <c r="BW43" s="199"/>
      <c r="BX43" s="199"/>
      <c r="BY43" s="199"/>
      <c r="BZ43" s="199"/>
      <c r="CA43" s="200"/>
      <c r="CB43" s="201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225"/>
      <c r="CO43" s="199"/>
      <c r="CP43" s="199"/>
      <c r="CQ43" s="199"/>
      <c r="CR43" s="199"/>
      <c r="CS43" s="199"/>
      <c r="CT43" s="200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200"/>
      <c r="DG43" s="201"/>
      <c r="DH43" s="199"/>
      <c r="DI43" s="225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200"/>
      <c r="DZ43" s="199"/>
      <c r="EA43" s="199"/>
      <c r="EB43" s="199"/>
      <c r="EC43" s="199"/>
      <c r="ED43" s="225"/>
      <c r="EE43" s="199"/>
      <c r="EF43" s="199"/>
      <c r="EG43" s="199"/>
      <c r="EH43" s="199"/>
      <c r="EI43" s="199"/>
      <c r="EJ43" s="200"/>
      <c r="EK43" s="201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200"/>
      <c r="FD43" s="199"/>
      <c r="FE43" s="199"/>
      <c r="FF43" s="199"/>
      <c r="FG43" s="202"/>
      <c r="FH43" s="199"/>
      <c r="FI43" s="199"/>
      <c r="FJ43" s="235"/>
      <c r="FK43" s="235"/>
      <c r="FL43" s="199"/>
      <c r="FM43" s="199"/>
      <c r="FN43" s="199"/>
      <c r="FO43" s="200"/>
      <c r="FP43" s="201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202"/>
      <c r="GC43" s="199"/>
      <c r="GD43" s="199"/>
      <c r="GE43" s="199"/>
      <c r="GF43" s="199"/>
      <c r="GG43" s="200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200"/>
      <c r="GU43" s="203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200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</row>
    <row r="44" spans="1:230" ht="30" customHeight="1" x14ac:dyDescent="0.15">
      <c r="A44" s="208"/>
      <c r="B44" s="76">
        <f t="shared" si="20"/>
        <v>35</v>
      </c>
      <c r="C44" s="169" t="s">
        <v>57</v>
      </c>
      <c r="D44" s="227"/>
      <c r="E44" s="169"/>
      <c r="F44" s="95"/>
      <c r="G44" s="211" t="s">
        <v>47</v>
      </c>
      <c r="H44" s="164"/>
      <c r="I44" s="163"/>
      <c r="J44" s="77" t="s">
        <v>46</v>
      </c>
      <c r="K44" s="77"/>
      <c r="L44" s="85"/>
      <c r="M44" s="78"/>
      <c r="N44" s="91"/>
      <c r="O44" s="86">
        <v>0</v>
      </c>
      <c r="P44" s="78">
        <v>45931</v>
      </c>
      <c r="Q44" s="79">
        <v>45940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24"/>
      <c r="BM44" s="82"/>
      <c r="BN44" s="82"/>
      <c r="BO44" s="83"/>
      <c r="BP44" s="82"/>
      <c r="BQ44" s="82"/>
      <c r="BR44" s="82"/>
      <c r="BS44" s="82"/>
      <c r="BT44" s="224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24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24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24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5"/>
      <c r="FH44" s="82"/>
      <c r="FI44" s="82"/>
      <c r="FJ44" s="234"/>
      <c r="FK44" s="234"/>
      <c r="FL44" s="82"/>
      <c r="FM44" s="82"/>
      <c r="FN44" s="82"/>
      <c r="FO44" s="83"/>
      <c r="FP44" s="84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185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195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08"/>
      <c r="B45" s="76">
        <f t="shared" si="20"/>
        <v>36</v>
      </c>
      <c r="C45" s="228"/>
      <c r="D45" s="229"/>
      <c r="E45" s="228"/>
      <c r="F45" s="95"/>
      <c r="G45" s="163" t="s">
        <v>48</v>
      </c>
      <c r="H45" s="212"/>
      <c r="I45" s="213"/>
      <c r="J45" s="77" t="s">
        <v>46</v>
      </c>
      <c r="K45" s="214"/>
      <c r="L45" s="215"/>
      <c r="M45" s="216"/>
      <c r="N45" s="217"/>
      <c r="O45" s="218">
        <v>0</v>
      </c>
      <c r="P45" s="216">
        <v>45965</v>
      </c>
      <c r="Q45" s="217">
        <v>45978</v>
      </c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24"/>
      <c r="BM45" s="82"/>
      <c r="BN45" s="82"/>
      <c r="BO45" s="83"/>
      <c r="BP45" s="82"/>
      <c r="BQ45" s="82"/>
      <c r="BR45" s="82"/>
      <c r="BS45" s="82"/>
      <c r="BT45" s="224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24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24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24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5"/>
      <c r="FH45" s="82"/>
      <c r="FI45" s="82"/>
      <c r="FJ45" s="234"/>
      <c r="FK45" s="234"/>
      <c r="FL45" s="82"/>
      <c r="FM45" s="82"/>
      <c r="FN45" s="82"/>
      <c r="FO45" s="83"/>
      <c r="FP45" s="84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185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195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08"/>
      <c r="B46" s="76">
        <f t="shared" si="20"/>
        <v>37</v>
      </c>
      <c r="C46" s="97" t="s">
        <v>58</v>
      </c>
      <c r="D46" s="240"/>
      <c r="E46" s="97"/>
      <c r="F46" s="168"/>
      <c r="G46" s="211"/>
      <c r="H46" s="212"/>
      <c r="I46" s="213"/>
      <c r="J46" s="77"/>
      <c r="K46" s="77" t="s">
        <v>46</v>
      </c>
      <c r="L46" s="215"/>
      <c r="M46" s="216"/>
      <c r="N46" s="217"/>
      <c r="O46" s="218">
        <v>0</v>
      </c>
      <c r="P46" s="216">
        <v>45943</v>
      </c>
      <c r="Q46" s="217">
        <v>45961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24"/>
      <c r="BM46" s="82"/>
      <c r="BN46" s="82"/>
      <c r="BO46" s="83"/>
      <c r="BP46" s="82"/>
      <c r="BQ46" s="82"/>
      <c r="BR46" s="82"/>
      <c r="BS46" s="82"/>
      <c r="BT46" s="224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24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24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24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5"/>
      <c r="FH46" s="82"/>
      <c r="FI46" s="82"/>
      <c r="FJ46" s="234"/>
      <c r="FK46" s="234"/>
      <c r="FL46" s="82"/>
      <c r="FM46" s="82"/>
      <c r="FN46" s="82"/>
      <c r="FO46" s="83"/>
      <c r="FP46" s="84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185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195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B47" s="76">
        <f t="shared" si="20"/>
        <v>38</v>
      </c>
      <c r="C47" s="93" t="s">
        <v>42</v>
      </c>
      <c r="D47" s="93"/>
      <c r="E47" s="93"/>
      <c r="F47" s="168" t="s">
        <v>55</v>
      </c>
      <c r="G47" s="211"/>
      <c r="H47" s="164"/>
      <c r="I47" s="163"/>
      <c r="J47" s="77"/>
      <c r="K47" s="77" t="s">
        <v>46</v>
      </c>
      <c r="L47" s="85"/>
      <c r="M47" s="78"/>
      <c r="N47" s="91"/>
      <c r="O47" s="86">
        <v>0</v>
      </c>
      <c r="P47" s="78">
        <v>45962</v>
      </c>
      <c r="Q47" s="91">
        <v>45978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24"/>
      <c r="BM47" s="82"/>
      <c r="BN47" s="82"/>
      <c r="BO47" s="83"/>
      <c r="BP47" s="82"/>
      <c r="BQ47" s="82"/>
      <c r="BR47" s="82"/>
      <c r="BS47" s="82"/>
      <c r="BT47" s="224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24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24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24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5"/>
      <c r="FH47" s="82"/>
      <c r="FI47" s="82"/>
      <c r="FJ47" s="234"/>
      <c r="FK47" s="234"/>
      <c r="FL47" s="82"/>
      <c r="FM47" s="82"/>
      <c r="FN47" s="82"/>
      <c r="FO47" s="83"/>
      <c r="FP47" s="84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185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195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B48" s="76">
        <f t="shared" si="20"/>
        <v>39</v>
      </c>
      <c r="C48" s="93"/>
      <c r="D48" s="93"/>
      <c r="E48" s="93"/>
      <c r="F48" s="168" t="s">
        <v>56</v>
      </c>
      <c r="G48" s="96"/>
      <c r="H48" s="164"/>
      <c r="I48" s="163"/>
      <c r="J48" s="77"/>
      <c r="K48" s="77" t="s">
        <v>46</v>
      </c>
      <c r="L48" s="85"/>
      <c r="M48" s="78"/>
      <c r="N48" s="91"/>
      <c r="O48" s="86">
        <v>0</v>
      </c>
      <c r="P48" s="78">
        <v>45978</v>
      </c>
      <c r="Q48" s="91">
        <v>45991</v>
      </c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24"/>
      <c r="BM48" s="82"/>
      <c r="BN48" s="82"/>
      <c r="BO48" s="83"/>
      <c r="BP48" s="82"/>
      <c r="BQ48" s="82"/>
      <c r="BR48" s="82"/>
      <c r="BS48" s="82"/>
      <c r="BT48" s="224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24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24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24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5"/>
      <c r="FH48" s="82"/>
      <c r="FI48" s="82"/>
      <c r="FJ48" s="234"/>
      <c r="FK48" s="234"/>
      <c r="FL48" s="82"/>
      <c r="FM48" s="82"/>
      <c r="FN48" s="82"/>
      <c r="FO48" s="83"/>
      <c r="FP48" s="84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185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195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06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24"/>
      <c r="BM49" s="82"/>
      <c r="BN49" s="82"/>
      <c r="BO49" s="83"/>
      <c r="BP49" s="82"/>
      <c r="BQ49" s="82"/>
      <c r="BR49" s="82"/>
      <c r="BS49" s="82"/>
      <c r="BT49" s="224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24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24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24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5"/>
      <c r="FH49" s="82"/>
      <c r="FI49" s="82"/>
      <c r="FJ49" s="234"/>
      <c r="FK49" s="234"/>
      <c r="FL49" s="82"/>
      <c r="FM49" s="82"/>
      <c r="FN49" s="82"/>
      <c r="FO49" s="83"/>
      <c r="FP49" s="84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185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195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07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 t="s">
        <v>40</v>
      </c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24"/>
      <c r="BM50" s="82"/>
      <c r="BN50" s="82"/>
      <c r="BO50" s="83"/>
      <c r="BP50" s="82"/>
      <c r="BQ50" s="82"/>
      <c r="BR50" s="82"/>
      <c r="BS50" s="82"/>
      <c r="BT50" s="224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24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24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24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5"/>
      <c r="FH50" s="82"/>
      <c r="FI50" s="82"/>
      <c r="FJ50" s="234"/>
      <c r="FK50" s="234"/>
      <c r="FL50" s="82"/>
      <c r="FM50" s="82"/>
      <c r="FN50" s="82"/>
      <c r="FO50" s="83"/>
      <c r="FP50" s="84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185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195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04" customFormat="1" ht="30" customHeight="1" x14ac:dyDescent="0.15">
      <c r="A51" s="206"/>
      <c r="B51" s="76">
        <f t="shared" si="20"/>
        <v>42</v>
      </c>
      <c r="C51" s="219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197"/>
      <c r="S51" s="198"/>
      <c r="T51" s="199"/>
      <c r="U51" s="199"/>
      <c r="V51" s="199"/>
      <c r="W51" s="199"/>
      <c r="X51" s="199"/>
      <c r="Y51" s="200"/>
      <c r="Z51" s="200"/>
      <c r="AA51" s="199"/>
      <c r="AB51" s="199"/>
      <c r="AC51" s="199"/>
      <c r="AD51" s="199"/>
      <c r="AE51" s="199"/>
      <c r="AF51" s="199"/>
      <c r="AG51" s="199"/>
      <c r="AH51" s="199"/>
      <c r="AI51" s="199"/>
      <c r="AJ51" s="199"/>
      <c r="AK51" s="200"/>
      <c r="AL51" s="199"/>
      <c r="AM51" s="199"/>
      <c r="AN51" s="199"/>
      <c r="AO51" s="199"/>
      <c r="AP51" s="199"/>
      <c r="AQ51" s="199"/>
      <c r="AR51" s="199"/>
      <c r="AS51" s="199"/>
      <c r="AT51" s="199"/>
      <c r="AU51" s="199"/>
      <c r="AV51" s="199"/>
      <c r="AW51" s="200"/>
      <c r="AX51" s="201"/>
      <c r="AY51" s="199"/>
      <c r="AZ51" s="199"/>
      <c r="BA51" s="199"/>
      <c r="BB51" s="199"/>
      <c r="BC51" s="199"/>
      <c r="BD51" s="199"/>
      <c r="BE51" s="199"/>
      <c r="BF51" s="199"/>
      <c r="BG51" s="199"/>
      <c r="BH51" s="199"/>
      <c r="BI51" s="199"/>
      <c r="BJ51" s="199"/>
      <c r="BK51" s="199"/>
      <c r="BL51" s="225"/>
      <c r="BM51" s="199"/>
      <c r="BN51" s="199"/>
      <c r="BO51" s="200"/>
      <c r="BP51" s="199"/>
      <c r="BQ51" s="199"/>
      <c r="BR51" s="199"/>
      <c r="BS51" s="199"/>
      <c r="BT51" s="225"/>
      <c r="BU51" s="199"/>
      <c r="BV51" s="199"/>
      <c r="BW51" s="199"/>
      <c r="BX51" s="199"/>
      <c r="BY51" s="199"/>
      <c r="BZ51" s="199"/>
      <c r="CA51" s="200"/>
      <c r="CB51" s="201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225"/>
      <c r="CO51" s="199"/>
      <c r="CP51" s="199"/>
      <c r="CQ51" s="199"/>
      <c r="CR51" s="199"/>
      <c r="CS51" s="199"/>
      <c r="CT51" s="200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200"/>
      <c r="DG51" s="201"/>
      <c r="DH51" s="199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199"/>
      <c r="DU51" s="199"/>
      <c r="DV51" s="199"/>
      <c r="DW51" s="199"/>
      <c r="DX51" s="199"/>
      <c r="DY51" s="200"/>
      <c r="DZ51" s="199"/>
      <c r="EA51" s="199"/>
      <c r="EB51" s="199"/>
      <c r="EC51" s="199"/>
      <c r="ED51" s="225"/>
      <c r="EE51" s="199"/>
      <c r="EF51" s="199"/>
      <c r="EG51" s="199"/>
      <c r="EH51" s="199"/>
      <c r="EI51" s="199"/>
      <c r="EJ51" s="200"/>
      <c r="EK51" s="201"/>
      <c r="EL51" s="199"/>
      <c r="EM51" s="199"/>
      <c r="EN51" s="199"/>
      <c r="EO51" s="199"/>
      <c r="EP51" s="199"/>
      <c r="EQ51" s="199"/>
      <c r="ER51" s="199"/>
      <c r="ES51" s="199"/>
      <c r="ET51" s="199"/>
      <c r="EU51" s="199"/>
      <c r="EV51" s="199"/>
      <c r="EW51" s="199"/>
      <c r="EX51" s="199"/>
      <c r="EY51" s="199"/>
      <c r="EZ51" s="199"/>
      <c r="FA51" s="199"/>
      <c r="FB51" s="199"/>
      <c r="FC51" s="200"/>
      <c r="FD51" s="199"/>
      <c r="FE51" s="199"/>
      <c r="FF51" s="199"/>
      <c r="FG51" s="202"/>
      <c r="FH51" s="199"/>
      <c r="FI51" s="199"/>
      <c r="FJ51" s="235"/>
      <c r="FK51" s="235"/>
      <c r="FL51" s="199"/>
      <c r="FM51" s="199"/>
      <c r="FN51" s="199"/>
      <c r="FO51" s="200"/>
      <c r="FP51" s="201"/>
      <c r="FQ51" s="199"/>
      <c r="FR51" s="199"/>
      <c r="FS51" s="199"/>
      <c r="FT51" s="199"/>
      <c r="FU51" s="199"/>
      <c r="FV51" s="199"/>
      <c r="FW51" s="199"/>
      <c r="FX51" s="199"/>
      <c r="FY51" s="199"/>
      <c r="FZ51" s="199"/>
      <c r="GA51" s="199"/>
      <c r="GB51" s="202"/>
      <c r="GC51" s="199"/>
      <c r="GD51" s="199"/>
      <c r="GE51" s="199"/>
      <c r="GF51" s="199"/>
      <c r="GG51" s="200"/>
      <c r="GH51" s="199"/>
      <c r="GI51" s="199"/>
      <c r="GJ51" s="199"/>
      <c r="GK51" s="199"/>
      <c r="GL51" s="199"/>
      <c r="GM51" s="199"/>
      <c r="GN51" s="199"/>
      <c r="GO51" s="199"/>
      <c r="GP51" s="199"/>
      <c r="GQ51" s="199"/>
      <c r="GR51" s="199"/>
      <c r="GS51" s="199"/>
      <c r="GT51" s="200"/>
      <c r="GU51" s="203"/>
      <c r="GV51" s="199"/>
      <c r="GW51" s="199"/>
      <c r="GX51" s="199"/>
      <c r="GY51" s="199"/>
      <c r="GZ51" s="199"/>
      <c r="HA51" s="199"/>
      <c r="HB51" s="199"/>
      <c r="HC51" s="199"/>
      <c r="HD51" s="199"/>
      <c r="HE51" s="199"/>
      <c r="HF51" s="199"/>
      <c r="HG51" s="199"/>
      <c r="HH51" s="199"/>
      <c r="HI51" s="199"/>
      <c r="HJ51" s="200"/>
      <c r="HK51" s="199"/>
      <c r="HL51" s="199"/>
      <c r="HM51" s="199"/>
      <c r="HN51" s="199"/>
      <c r="HO51" s="199"/>
      <c r="HP51" s="199"/>
      <c r="HQ51" s="199"/>
      <c r="HR51" s="199"/>
      <c r="HS51" s="199"/>
      <c r="HT51" s="199"/>
      <c r="HU51" s="199"/>
      <c r="HV51" s="199"/>
    </row>
    <row r="52" spans="1:230" ht="30" customHeight="1" x14ac:dyDescent="0.15">
      <c r="A52" s="207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 t="s">
        <v>45</v>
      </c>
      <c r="K52" s="77" t="s">
        <v>46</v>
      </c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24"/>
      <c r="BM52" s="82"/>
      <c r="BN52" s="82"/>
      <c r="BO52" s="83"/>
      <c r="BP52" s="82"/>
      <c r="BQ52" s="82"/>
      <c r="BR52" s="82"/>
      <c r="BS52" s="82"/>
      <c r="BT52" s="224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24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24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24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5"/>
      <c r="FH52" s="82"/>
      <c r="FI52" s="82"/>
      <c r="FJ52" s="234"/>
      <c r="FK52" s="234"/>
      <c r="FL52" s="82"/>
      <c r="FM52" s="82"/>
      <c r="FN52" s="82"/>
      <c r="FO52" s="83"/>
      <c r="FP52" s="84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185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195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22.5" customHeight="1" x14ac:dyDescent="0.15">
      <c r="A53" s="58">
        <v>1</v>
      </c>
      <c r="B53" s="76">
        <f t="shared" si="20"/>
        <v>44</v>
      </c>
      <c r="C53" s="179"/>
      <c r="D53" s="169"/>
      <c r="E53" s="170"/>
      <c r="F53" s="180"/>
      <c r="G53" s="96"/>
      <c r="H53" s="181"/>
      <c r="I53" s="182"/>
      <c r="J53" s="77"/>
      <c r="K53" s="77"/>
      <c r="L53" s="77"/>
      <c r="M53" s="78"/>
      <c r="N53" s="91"/>
      <c r="O53" s="86"/>
      <c r="P53" s="78"/>
      <c r="Q53" s="78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24"/>
      <c r="BM53" s="82"/>
      <c r="BN53" s="82"/>
      <c r="BO53" s="83"/>
      <c r="BP53" s="82"/>
      <c r="BQ53" s="82"/>
      <c r="BR53" s="82"/>
      <c r="BS53" s="82"/>
      <c r="BT53" s="224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24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24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24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5"/>
      <c r="FH53" s="82"/>
      <c r="FI53" s="82"/>
      <c r="FJ53" s="234"/>
      <c r="FK53" s="234"/>
      <c r="FL53" s="82"/>
      <c r="FM53" s="82"/>
      <c r="FN53" s="82"/>
      <c r="FO53" s="83"/>
      <c r="FP53" s="84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185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195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4.25" x14ac:dyDescent="0.15">
      <c r="B54" s="76"/>
      <c r="C54" s="94"/>
      <c r="D54" s="97"/>
      <c r="E54" s="97"/>
      <c r="F54" s="97"/>
      <c r="G54" s="96"/>
      <c r="H54" s="164"/>
      <c r="I54" s="163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24"/>
      <c r="BM54" s="82"/>
      <c r="BN54" s="82"/>
      <c r="BO54" s="83"/>
      <c r="BP54" s="82"/>
      <c r="BQ54" s="82"/>
      <c r="BR54" s="82"/>
      <c r="BS54" s="82"/>
      <c r="BT54" s="224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24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24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24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5"/>
      <c r="FH54" s="82"/>
      <c r="FI54" s="82"/>
      <c r="FJ54" s="234"/>
      <c r="FK54" s="234"/>
      <c r="FL54" s="82"/>
      <c r="FM54" s="82"/>
      <c r="FN54" s="82"/>
      <c r="FO54" s="83"/>
      <c r="FP54" s="84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185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195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7"/>
      <c r="D55" s="95"/>
      <c r="E55" s="95"/>
      <c r="F55" s="95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9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24"/>
      <c r="BM55" s="82"/>
      <c r="BN55" s="82"/>
      <c r="BO55" s="83"/>
      <c r="BP55" s="82"/>
      <c r="BQ55" s="82"/>
      <c r="BR55" s="82"/>
      <c r="BS55" s="82"/>
      <c r="BT55" s="224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24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24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24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5"/>
      <c r="FH55" s="82"/>
      <c r="FI55" s="82"/>
      <c r="FJ55" s="234"/>
      <c r="FK55" s="234"/>
      <c r="FL55" s="82"/>
      <c r="FM55" s="82"/>
      <c r="FN55" s="82"/>
      <c r="FO55" s="83"/>
      <c r="FP55" s="84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185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195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5" thickBot="1" x14ac:dyDescent="0.2">
      <c r="B56" s="107"/>
      <c r="C56" s="148"/>
      <c r="D56" s="108"/>
      <c r="E56" s="109"/>
      <c r="F56" s="110"/>
      <c r="G56" s="167"/>
      <c r="H56" s="165"/>
      <c r="I56" s="166"/>
      <c r="J56" s="111"/>
      <c r="K56" s="111"/>
      <c r="L56" s="111"/>
      <c r="M56" s="112"/>
      <c r="N56" s="113"/>
      <c r="O56" s="114"/>
      <c r="P56" s="112"/>
      <c r="Q56" s="115"/>
      <c r="R56" s="116"/>
      <c r="S56" s="117"/>
      <c r="T56" s="118"/>
      <c r="U56" s="118"/>
      <c r="V56" s="118"/>
      <c r="W56" s="118"/>
      <c r="X56" s="118"/>
      <c r="Y56" s="119"/>
      <c r="Z56" s="119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9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9"/>
      <c r="AX56" s="120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226"/>
      <c r="BM56" s="221"/>
      <c r="BN56" s="118"/>
      <c r="BO56" s="119"/>
      <c r="BP56" s="118"/>
      <c r="BQ56" s="118"/>
      <c r="BR56" s="118"/>
      <c r="BS56" s="118"/>
      <c r="BT56" s="226"/>
      <c r="BU56" s="118"/>
      <c r="BV56" s="118"/>
      <c r="BW56" s="118"/>
      <c r="BX56" s="118"/>
      <c r="BY56" s="118"/>
      <c r="BZ56" s="118"/>
      <c r="CA56" s="119"/>
      <c r="CB56" s="120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226"/>
      <c r="CO56" s="118"/>
      <c r="CP56" s="118"/>
      <c r="CQ56" s="118"/>
      <c r="CR56" s="118"/>
      <c r="CS56" s="118"/>
      <c r="CT56" s="119"/>
      <c r="CU56" s="118"/>
      <c r="CV56" s="118"/>
      <c r="CW56" s="118"/>
      <c r="CX56" s="118"/>
      <c r="CY56" s="118"/>
      <c r="CZ56" s="118"/>
      <c r="DA56" s="118"/>
      <c r="DB56" s="118"/>
      <c r="DC56" s="118"/>
      <c r="DD56" s="118"/>
      <c r="DE56" s="118"/>
      <c r="DF56" s="119"/>
      <c r="DG56" s="120"/>
      <c r="DH56" s="118"/>
      <c r="DI56" s="226"/>
      <c r="DJ56" s="118"/>
      <c r="DK56" s="118"/>
      <c r="DL56" s="118"/>
      <c r="DM56" s="118"/>
      <c r="DN56" s="118"/>
      <c r="DO56" s="118"/>
      <c r="DP56" s="118"/>
      <c r="DQ56" s="118"/>
      <c r="DR56" s="118"/>
      <c r="DS56" s="118"/>
      <c r="DT56" s="118"/>
      <c r="DU56" s="118"/>
      <c r="DV56" s="118"/>
      <c r="DW56" s="118"/>
      <c r="DX56" s="118"/>
      <c r="DY56" s="119"/>
      <c r="DZ56" s="118"/>
      <c r="EA56" s="118"/>
      <c r="EB56" s="118"/>
      <c r="EC56" s="118"/>
      <c r="ED56" s="226"/>
      <c r="EE56" s="118"/>
      <c r="EF56" s="118"/>
      <c r="EG56" s="118"/>
      <c r="EH56" s="118"/>
      <c r="EI56" s="118"/>
      <c r="EJ56" s="119"/>
      <c r="EK56" s="120"/>
      <c r="EL56" s="118"/>
      <c r="EM56" s="118"/>
      <c r="EN56" s="118"/>
      <c r="EO56" s="118"/>
      <c r="EP56" s="118"/>
      <c r="EQ56" s="118"/>
      <c r="ER56" s="118"/>
      <c r="ES56" s="118"/>
      <c r="ET56" s="118"/>
      <c r="EU56" s="118"/>
      <c r="EV56" s="118"/>
      <c r="EW56" s="118"/>
      <c r="EX56" s="118"/>
      <c r="EY56" s="118"/>
      <c r="EZ56" s="118"/>
      <c r="FA56" s="118"/>
      <c r="FB56" s="118"/>
      <c r="FC56" s="119"/>
      <c r="FD56" s="118"/>
      <c r="FE56" s="118"/>
      <c r="FF56" s="118"/>
      <c r="FG56" s="186"/>
      <c r="FH56" s="118"/>
      <c r="FI56" s="118"/>
      <c r="FJ56" s="236"/>
      <c r="FK56" s="236"/>
      <c r="FL56" s="118"/>
      <c r="FM56" s="118"/>
      <c r="FN56" s="118"/>
      <c r="FO56" s="119"/>
      <c r="FP56" s="120"/>
      <c r="FQ56" s="118"/>
      <c r="FR56" s="118"/>
      <c r="FS56" s="118"/>
      <c r="FT56" s="118"/>
      <c r="FU56" s="118"/>
      <c r="FV56" s="118"/>
      <c r="FW56" s="118"/>
      <c r="FX56" s="118"/>
      <c r="FY56" s="118"/>
      <c r="FZ56" s="118"/>
      <c r="GA56" s="118"/>
      <c r="GB56" s="186"/>
      <c r="GC56" s="118"/>
      <c r="GD56" s="118"/>
      <c r="GE56" s="118"/>
      <c r="GF56" s="118"/>
      <c r="GG56" s="119"/>
      <c r="GH56" s="118"/>
      <c r="GI56" s="118"/>
      <c r="GJ56" s="118"/>
      <c r="GK56" s="118"/>
      <c r="GL56" s="118"/>
      <c r="GM56" s="118"/>
      <c r="GN56" s="118"/>
      <c r="GO56" s="118"/>
      <c r="GP56" s="118"/>
      <c r="GQ56" s="118"/>
      <c r="GR56" s="118"/>
      <c r="GS56" s="118"/>
      <c r="GT56" s="119"/>
      <c r="GU56" s="196"/>
      <c r="GV56" s="118"/>
      <c r="GW56" s="118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9"/>
      <c r="HK56" s="118"/>
      <c r="HL56" s="118"/>
      <c r="HM56" s="118"/>
      <c r="HN56" s="118"/>
      <c r="HO56" s="118"/>
      <c r="HP56" s="118"/>
      <c r="HQ56" s="118"/>
      <c r="HR56" s="118"/>
      <c r="HS56" s="118"/>
      <c r="HT56" s="118"/>
      <c r="HU56" s="118"/>
      <c r="HV56" s="118"/>
    </row>
  </sheetData>
  <mergeCells count="17"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  <mergeCell ref="AF1:AG1"/>
    <mergeCell ref="S8:BP8"/>
    <mergeCell ref="AU1:BD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6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6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6">
    <cfRule type="expression" dxfId="2" priority="705" stopIfTrue="1">
      <formula>#REF! = 1</formula>
    </cfRule>
  </conditionalFormatting>
  <conditionalFormatting sqref="M9:Q56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7" firstPageNumber="2" fitToWidth="0" orientation="landscape" useFirstPageNumber="1" r:id="rId1"/>
  <headerFooter alignWithMargins="0">
    <oddFooter>&amp;CP4 - 2 - &amp;P</oddFooter>
  </headerFooter>
  <colBreaks count="1" manualBreakCount="1">
    <brk id="110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2025-08-06T03:23:53Z</cp:lastPrinted>
  <dcterms:created xsi:type="dcterms:W3CDTF">1997-03-28T07:15:09Z</dcterms:created>
  <dcterms:modified xsi:type="dcterms:W3CDTF">2025-08-19T02:06:34Z</dcterms:modified>
</cp:coreProperties>
</file>